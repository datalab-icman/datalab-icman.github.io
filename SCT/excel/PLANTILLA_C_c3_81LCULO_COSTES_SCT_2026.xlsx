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Y:\Pruebas\1. Proyectos\SCT\SCT_GESTIÓN\5. Plantilla costes\9. Plantilla DEFINITIVA\"/>
    </mc:Choice>
  </mc:AlternateContent>
  <xr:revisionPtr revIDLastSave="0" documentId="13_ncr:1_{91D3B2A4-58F2-42D3-A462-C317116B8425}" xr6:coauthVersionLast="36" xr6:coauthVersionMax="36" xr10:uidLastSave="{00000000-0000-0000-0000-000000000000}"/>
  <workbookProtection workbookAlgorithmName="SHA-512" workbookHashValue="JksvHeshk1IiASrYx1btru+3E6T22xPlBHFY0OSXcS8wip51GMuArd9ozm0ozrpISVzKRA5jm24a5DR0aR3aNg==" workbookSaltValue="EazlX08eUtopdzT1xkjGGw==" workbookSpinCount="100000" lockStructure="1"/>
  <bookViews>
    <workbookView xWindow="0" yWindow="0" windowWidth="19200" windowHeight="8220" tabRatio="704" xr2:uid="{FCD7A7B5-FDEC-4E1C-AE10-29CA6B0745F8}"/>
  </bookViews>
  <sheets>
    <sheet name="Datos generales" sheetId="1" r:id="rId1"/>
    <sheet name="Resumen" sheetId="20" r:id="rId2"/>
    <sheet name="Personal" sheetId="10" r:id="rId3"/>
    <sheet name="Instalación-Infraestructura" sheetId="5" r:id="rId4"/>
    <sheet name="Equipamiento" sheetId="3" r:id="rId5"/>
    <sheet name="Otros" sheetId="4" r:id="rId6"/>
    <sheet name="Equipo 1" sheetId="8" r:id="rId7"/>
    <sheet name="Equipo 2" sheetId="11" r:id="rId8"/>
    <sheet name="Equipo 3" sheetId="12" r:id="rId9"/>
    <sheet name="Equipo 4" sheetId="13" r:id="rId10"/>
    <sheet name="Equipo 5" sheetId="14" r:id="rId11"/>
    <sheet name="Equipo 6" sheetId="15" r:id="rId12"/>
    <sheet name="Equipo 7" sheetId="16" r:id="rId13"/>
    <sheet name="Equipo 8" sheetId="17" r:id="rId14"/>
    <sheet name="Equipo 9" sheetId="18" r:id="rId15"/>
    <sheet name="Equipo 10" sheetId="19" r:id="rId16"/>
    <sheet name="Referencias" sheetId="6" r:id="rId17"/>
  </sheets>
  <definedNames>
    <definedName name="_xlnm.Print_Area" localSheetId="0">'Datos generales'!$A$1:$C$21</definedName>
    <definedName name="_xlnm.Print_Area" localSheetId="4">Equipamiento!$A$1:$F$22</definedName>
    <definedName name="_xlnm.Print_Area" localSheetId="6">'Equipo 1'!$A$1:$D$58</definedName>
    <definedName name="_xlnm.Print_Area" localSheetId="15">'Equipo 10'!#REF!</definedName>
    <definedName name="_xlnm.Print_Area" localSheetId="7">'Equipo 2'!#REF!</definedName>
    <definedName name="_xlnm.Print_Area" localSheetId="8">'Equipo 3'!#REF!</definedName>
    <definedName name="_xlnm.Print_Area" localSheetId="9">'Equipo 4'!#REF!</definedName>
    <definedName name="_xlnm.Print_Area" localSheetId="10">'Equipo 5'!#REF!</definedName>
    <definedName name="_xlnm.Print_Area" localSheetId="11">'Equipo 6'!#REF!</definedName>
    <definedName name="_xlnm.Print_Area" localSheetId="12">'Equipo 7'!#REF!</definedName>
    <definedName name="_xlnm.Print_Area" localSheetId="13">'Equipo 8'!#REF!</definedName>
    <definedName name="_xlnm.Print_Area" localSheetId="14">'Equipo 9'!#REF!</definedName>
    <definedName name="_xlnm.Print_Area" localSheetId="3">'Instalación-Infraestructura'!$A$1:$F$27</definedName>
    <definedName name="_xlnm.Print_Area" localSheetId="5">Otros!$A$1:$E$73</definedName>
    <definedName name="_xlnm.Print_Area" localSheetId="2">Personal!$A$1:$J$24</definedName>
    <definedName name="_xlnm.Print_Area" localSheetId="16">Referencias!$A$2:$K$33</definedName>
    <definedName name="_xlnm.Print_Area" localSheetId="1">Resumen!$A$1:$G$22</definedName>
    <definedName name="COSTES_ELEGIBLES_MAS_IVA_NO_DEDUCIBLE_ELEGIBLE" localSheetId="1">Resumen!#REF!,Resumen!#REF!,Resumen!#REF!</definedName>
    <definedName name="COSTES_ELEGIBLES_MAS_IVA_NO_DEDUCIBLE_ELEGIBLE">#REF!,#REF!,#REF!</definedName>
    <definedName name="COSTES_NO_ELEGIBLES_MAS_IVA_NO_DEDUCIBLE_NO_ELEGIBLE" localSheetId="1">Resumen!$E$21:$E$24,Resumen!$E$25:$E$25</definedName>
    <definedName name="COSTES_NO_ELEGIBLES_MAS_IVA_NO_DEDUCIBLE_NO_ELEGIBLE">#REF!,#REF!</definedName>
    <definedName name="IVA">Referencias!$B$26</definedName>
    <definedName name="IVA_NO_DEDUCIBLE">Referencias!$B$27</definedName>
    <definedName name="PORCENTAJE_MARGINAL">Referencias!$B$28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8" l="1"/>
  <c r="D75" i="5" l="1"/>
  <c r="D59" i="5"/>
  <c r="D43" i="5"/>
  <c r="D27" i="5"/>
  <c r="J72" i="5" l="1"/>
  <c r="J56" i="5"/>
  <c r="J40" i="5"/>
  <c r="J24" i="5"/>
  <c r="C9" i="10" l="1"/>
  <c r="C10" i="10"/>
  <c r="B4" i="19" l="1"/>
  <c r="B4" i="18"/>
  <c r="B4" i="17"/>
  <c r="B4" i="16"/>
  <c r="B4" i="15"/>
  <c r="B4" i="14"/>
  <c r="B4" i="13"/>
  <c r="B4" i="12"/>
  <c r="B4" i="11"/>
  <c r="B4" i="8"/>
  <c r="B4" i="4"/>
  <c r="B4" i="5"/>
  <c r="B4" i="10"/>
  <c r="C4" i="20"/>
  <c r="B4" i="3"/>
  <c r="E52" i="4" l="1"/>
  <c r="E44" i="4"/>
  <c r="B10" i="19" l="1"/>
  <c r="B10" i="18"/>
  <c r="B10" i="17"/>
  <c r="B10" i="16"/>
  <c r="B10" i="15"/>
  <c r="B10" i="14"/>
  <c r="B10" i="13"/>
  <c r="B10" i="12"/>
  <c r="B10" i="11"/>
  <c r="A15" i="20" l="1"/>
  <c r="A14" i="20"/>
  <c r="A6" i="19" l="1"/>
  <c r="A6" i="18"/>
  <c r="A6" i="17"/>
  <c r="A6" i="16"/>
  <c r="A6" i="15"/>
  <c r="A6" i="14"/>
  <c r="A6" i="13"/>
  <c r="A6" i="12"/>
  <c r="A6" i="11"/>
  <c r="A6" i="8"/>
  <c r="F53" i="19"/>
  <c r="D51" i="19"/>
  <c r="D52" i="19" s="1"/>
  <c r="H53" i="19"/>
  <c r="F42" i="19"/>
  <c r="D40" i="19"/>
  <c r="D41" i="19" s="1"/>
  <c r="D42" i="19" s="1"/>
  <c r="I32" i="19"/>
  <c r="H32" i="19"/>
  <c r="F32" i="19"/>
  <c r="D31" i="19"/>
  <c r="G32" i="19" s="1"/>
  <c r="H27" i="19"/>
  <c r="D26" i="19"/>
  <c r="D25" i="19"/>
  <c r="G15" i="19"/>
  <c r="F15" i="19"/>
  <c r="F53" i="18"/>
  <c r="D51" i="18"/>
  <c r="D52" i="18" s="1"/>
  <c r="F42" i="18"/>
  <c r="D40" i="18"/>
  <c r="D41" i="18" s="1"/>
  <c r="I32" i="18"/>
  <c r="H32" i="18"/>
  <c r="F32" i="18"/>
  <c r="D31" i="18"/>
  <c r="G32" i="18" s="1"/>
  <c r="H27" i="18"/>
  <c r="D26" i="18"/>
  <c r="D25" i="18"/>
  <c r="G15" i="18"/>
  <c r="F15" i="18"/>
  <c r="F53" i="17"/>
  <c r="D51" i="17"/>
  <c r="D52" i="17" s="1"/>
  <c r="D53" i="17" s="1"/>
  <c r="H53" i="17"/>
  <c r="F42" i="17"/>
  <c r="D40" i="17"/>
  <c r="D41" i="17" s="1"/>
  <c r="D42" i="17" s="1"/>
  <c r="I32" i="17"/>
  <c r="H32" i="17"/>
  <c r="F32" i="17"/>
  <c r="D31" i="17"/>
  <c r="G32" i="17" s="1"/>
  <c r="H27" i="17"/>
  <c r="D26" i="17"/>
  <c r="D25" i="17"/>
  <c r="G15" i="17"/>
  <c r="F15" i="17"/>
  <c r="F53" i="16"/>
  <c r="D51" i="16"/>
  <c r="D52" i="16" s="1"/>
  <c r="H53" i="16"/>
  <c r="F42" i="16"/>
  <c r="D40" i="16"/>
  <c r="D41" i="16" s="1"/>
  <c r="I32" i="16"/>
  <c r="H32" i="16"/>
  <c r="F32" i="16"/>
  <c r="D31" i="16"/>
  <c r="G32" i="16" s="1"/>
  <c r="H27" i="16"/>
  <c r="D26" i="16"/>
  <c r="D25" i="16"/>
  <c r="G15" i="16"/>
  <c r="F15" i="16"/>
  <c r="F53" i="15"/>
  <c r="D51" i="15"/>
  <c r="D52" i="15" s="1"/>
  <c r="D53" i="15" s="1"/>
  <c r="H53" i="15"/>
  <c r="F42" i="15"/>
  <c r="D40" i="15"/>
  <c r="D41" i="15" s="1"/>
  <c r="D42" i="15" s="1"/>
  <c r="I32" i="15"/>
  <c r="H32" i="15"/>
  <c r="F32" i="15"/>
  <c r="D31" i="15"/>
  <c r="G32" i="15" s="1"/>
  <c r="H27" i="15"/>
  <c r="D26" i="15"/>
  <c r="D25" i="15"/>
  <c r="G15" i="15"/>
  <c r="F15" i="15"/>
  <c r="F53" i="14"/>
  <c r="D51" i="14"/>
  <c r="D52" i="14" s="1"/>
  <c r="H53" i="14"/>
  <c r="F42" i="14"/>
  <c r="D40" i="14"/>
  <c r="D41" i="14" s="1"/>
  <c r="D42" i="14" s="1"/>
  <c r="I32" i="14"/>
  <c r="H32" i="14"/>
  <c r="F32" i="14"/>
  <c r="D31" i="14"/>
  <c r="G32" i="14" s="1"/>
  <c r="H27" i="14"/>
  <c r="D26" i="14"/>
  <c r="D25" i="14"/>
  <c r="G15" i="14"/>
  <c r="F15" i="14"/>
  <c r="F53" i="13"/>
  <c r="D51" i="13"/>
  <c r="D52" i="13" s="1"/>
  <c r="D53" i="13" s="1"/>
  <c r="H53" i="13"/>
  <c r="F42" i="13"/>
  <c r="D40" i="13"/>
  <c r="D41" i="13" s="1"/>
  <c r="D42" i="13" s="1"/>
  <c r="I32" i="13"/>
  <c r="H32" i="13"/>
  <c r="F32" i="13"/>
  <c r="D31" i="13"/>
  <c r="G32" i="13" s="1"/>
  <c r="H27" i="13"/>
  <c r="D26" i="13"/>
  <c r="D25" i="13"/>
  <c r="G15" i="13"/>
  <c r="F15" i="13"/>
  <c r="F53" i="12"/>
  <c r="D51" i="12"/>
  <c r="D52" i="12" s="1"/>
  <c r="H53" i="12"/>
  <c r="F42" i="12"/>
  <c r="D40" i="12"/>
  <c r="D41" i="12" s="1"/>
  <c r="I32" i="12"/>
  <c r="H32" i="12"/>
  <c r="F32" i="12"/>
  <c r="D31" i="12"/>
  <c r="G32" i="12" s="1"/>
  <c r="H27" i="12"/>
  <c r="D26" i="12"/>
  <c r="D25" i="12"/>
  <c r="G15" i="12"/>
  <c r="F15" i="12"/>
  <c r="F53" i="11"/>
  <c r="D51" i="11"/>
  <c r="D52" i="11" s="1"/>
  <c r="H53" i="11"/>
  <c r="F42" i="11"/>
  <c r="D40" i="11"/>
  <c r="D41" i="11" s="1"/>
  <c r="D42" i="11" s="1"/>
  <c r="H42" i="11"/>
  <c r="I32" i="11"/>
  <c r="H32" i="11"/>
  <c r="F32" i="11"/>
  <c r="D31" i="11"/>
  <c r="G32" i="11" s="1"/>
  <c r="H27" i="11"/>
  <c r="D26" i="11"/>
  <c r="D25" i="11"/>
  <c r="G15" i="11"/>
  <c r="F15" i="11"/>
  <c r="D27" i="12" l="1"/>
  <c r="I53" i="12"/>
  <c r="D53" i="12"/>
  <c r="I53" i="19"/>
  <c r="D53" i="19"/>
  <c r="I42" i="18"/>
  <c r="D42" i="18"/>
  <c r="I53" i="16"/>
  <c r="D53" i="16"/>
  <c r="I42" i="16"/>
  <c r="D42" i="16"/>
  <c r="I53" i="18"/>
  <c r="D53" i="18"/>
  <c r="I53" i="14"/>
  <c r="D53" i="14"/>
  <c r="I53" i="11"/>
  <c r="D53" i="11"/>
  <c r="I42" i="12"/>
  <c r="D42" i="12"/>
  <c r="F27" i="19"/>
  <c r="F56" i="19" s="1"/>
  <c r="F27" i="18"/>
  <c r="F56" i="18" s="1"/>
  <c r="H53" i="18"/>
  <c r="D27" i="18"/>
  <c r="G27" i="17"/>
  <c r="F27" i="15"/>
  <c r="F56" i="15" s="1"/>
  <c r="G27" i="14"/>
  <c r="F27" i="13"/>
  <c r="F56" i="13" s="1"/>
  <c r="G27" i="13"/>
  <c r="F27" i="12"/>
  <c r="F56" i="12" s="1"/>
  <c r="G27" i="12"/>
  <c r="G27" i="11"/>
  <c r="D27" i="11"/>
  <c r="G27" i="19"/>
  <c r="G27" i="18"/>
  <c r="F27" i="17"/>
  <c r="F56" i="17" s="1"/>
  <c r="G27" i="16"/>
  <c r="G27" i="15"/>
  <c r="F27" i="11"/>
  <c r="F56" i="11" s="1"/>
  <c r="I42" i="19"/>
  <c r="G42" i="19"/>
  <c r="H42" i="19"/>
  <c r="H56" i="19" s="1"/>
  <c r="I27" i="19"/>
  <c r="D27" i="19"/>
  <c r="G53" i="19"/>
  <c r="G42" i="18"/>
  <c r="I27" i="18"/>
  <c r="H42" i="18"/>
  <c r="H56" i="18" s="1"/>
  <c r="G53" i="18"/>
  <c r="I42" i="17"/>
  <c r="G42" i="17"/>
  <c r="I53" i="17"/>
  <c r="D27" i="17"/>
  <c r="H42" i="17"/>
  <c r="H56" i="17" s="1"/>
  <c r="G53" i="17"/>
  <c r="I27" i="17"/>
  <c r="I27" i="16"/>
  <c r="G42" i="16"/>
  <c r="H42" i="16"/>
  <c r="H56" i="16" s="1"/>
  <c r="F27" i="16"/>
  <c r="F56" i="16" s="1"/>
  <c r="G53" i="16"/>
  <c r="D27" i="16"/>
  <c r="I42" i="15"/>
  <c r="G42" i="15"/>
  <c r="I53" i="15"/>
  <c r="H42" i="15"/>
  <c r="H56" i="15" s="1"/>
  <c r="I27" i="15"/>
  <c r="D27" i="15"/>
  <c r="G53" i="15"/>
  <c r="I42" i="14"/>
  <c r="G42" i="14"/>
  <c r="H42" i="14"/>
  <c r="H56" i="14" s="1"/>
  <c r="F27" i="14"/>
  <c r="F56" i="14" s="1"/>
  <c r="G53" i="14"/>
  <c r="I27" i="14"/>
  <c r="D27" i="14"/>
  <c r="G42" i="13"/>
  <c r="I42" i="13"/>
  <c r="I53" i="13"/>
  <c r="I27" i="13"/>
  <c r="G53" i="13"/>
  <c r="H42" i="13"/>
  <c r="H56" i="13" s="1"/>
  <c r="D27" i="13"/>
  <c r="G42" i="12"/>
  <c r="I27" i="12"/>
  <c r="H42" i="12"/>
  <c r="H56" i="12" s="1"/>
  <c r="G53" i="12"/>
  <c r="I42" i="11"/>
  <c r="H56" i="11"/>
  <c r="G42" i="11"/>
  <c r="I27" i="11"/>
  <c r="G53" i="11"/>
  <c r="D25" i="8"/>
  <c r="D26" i="8"/>
  <c r="D51" i="8"/>
  <c r="D40" i="8"/>
  <c r="G56" i="14" l="1"/>
  <c r="G56" i="19"/>
  <c r="I56" i="16"/>
  <c r="I56" i="18"/>
  <c r="G56" i="17"/>
  <c r="G56" i="11"/>
  <c r="G56" i="13"/>
  <c r="I56" i="12"/>
  <c r="I56" i="19"/>
  <c r="D56" i="19"/>
  <c r="G56" i="18"/>
  <c r="I56" i="17"/>
  <c r="G56" i="16"/>
  <c r="D56" i="16"/>
  <c r="G56" i="15"/>
  <c r="I56" i="14"/>
  <c r="G56" i="12"/>
  <c r="D56" i="11"/>
  <c r="I56" i="11"/>
  <c r="D56" i="18"/>
  <c r="I56" i="15"/>
  <c r="I56" i="13"/>
  <c r="D56" i="12"/>
  <c r="D56" i="17"/>
  <c r="D56" i="15"/>
  <c r="D56" i="14"/>
  <c r="D56" i="13"/>
  <c r="A60" i="5" l="1"/>
  <c r="A44" i="5"/>
  <c r="A28" i="5"/>
  <c r="A12" i="5"/>
  <c r="F53" i="8" l="1"/>
  <c r="F42" i="8"/>
  <c r="F32" i="8"/>
  <c r="D41" i="8"/>
  <c r="D42" i="8" s="1"/>
  <c r="D52" i="8"/>
  <c r="D53" i="8" s="1"/>
  <c r="E58" i="4" l="1"/>
  <c r="E53" i="4"/>
  <c r="G54" i="4"/>
  <c r="I59" i="4"/>
  <c r="J54" i="4"/>
  <c r="I54" i="4" l="1"/>
  <c r="H53" i="8"/>
  <c r="H42" i="8"/>
  <c r="H27" i="8"/>
  <c r="I70" i="4" l="1"/>
  <c r="J70" i="4"/>
  <c r="G70" i="4"/>
  <c r="H59" i="4"/>
  <c r="J59" i="4"/>
  <c r="H54" i="4"/>
  <c r="J34" i="4"/>
  <c r="H34" i="4"/>
  <c r="I34" i="4"/>
  <c r="G34" i="4"/>
  <c r="H69" i="3"/>
  <c r="G70" i="3"/>
  <c r="H70" i="3"/>
  <c r="I70" i="3"/>
  <c r="G71" i="3"/>
  <c r="H71" i="3"/>
  <c r="I71" i="3"/>
  <c r="G72" i="3"/>
  <c r="H72" i="3"/>
  <c r="I72" i="3"/>
  <c r="G73" i="3"/>
  <c r="H73" i="3"/>
  <c r="I73" i="3"/>
  <c r="G74" i="3"/>
  <c r="H74" i="3"/>
  <c r="I74" i="3"/>
  <c r="G75" i="3"/>
  <c r="H75" i="3"/>
  <c r="I75" i="3"/>
  <c r="G76" i="3"/>
  <c r="H76" i="3"/>
  <c r="I76" i="3"/>
  <c r="G77" i="3"/>
  <c r="H77" i="3"/>
  <c r="I77" i="3"/>
  <c r="G78" i="3"/>
  <c r="H78" i="3"/>
  <c r="I78" i="3"/>
  <c r="F78" i="3"/>
  <c r="F77" i="3"/>
  <c r="F76" i="3"/>
  <c r="F75" i="3"/>
  <c r="F74" i="3"/>
  <c r="F73" i="3"/>
  <c r="F72" i="3"/>
  <c r="F71" i="3"/>
  <c r="F70" i="3"/>
  <c r="H55" i="3"/>
  <c r="G56" i="3"/>
  <c r="H56" i="3"/>
  <c r="I56" i="3"/>
  <c r="G57" i="3"/>
  <c r="H57" i="3"/>
  <c r="I57" i="3"/>
  <c r="G58" i="3"/>
  <c r="H58" i="3"/>
  <c r="I58" i="3"/>
  <c r="G59" i="3"/>
  <c r="H59" i="3"/>
  <c r="I59" i="3"/>
  <c r="G60" i="3"/>
  <c r="H60" i="3"/>
  <c r="I60" i="3"/>
  <c r="G61" i="3"/>
  <c r="H61" i="3"/>
  <c r="I61" i="3"/>
  <c r="G62" i="3"/>
  <c r="H62" i="3"/>
  <c r="I62" i="3"/>
  <c r="G63" i="3"/>
  <c r="H63" i="3"/>
  <c r="I63" i="3"/>
  <c r="G64" i="3"/>
  <c r="H64" i="3"/>
  <c r="I64" i="3"/>
  <c r="F64" i="3"/>
  <c r="F63" i="3"/>
  <c r="F62" i="3"/>
  <c r="F61" i="3"/>
  <c r="F60" i="3"/>
  <c r="F59" i="3"/>
  <c r="F58" i="3"/>
  <c r="F57" i="3"/>
  <c r="F56" i="3"/>
  <c r="G42" i="3"/>
  <c r="H42" i="3"/>
  <c r="I42" i="3"/>
  <c r="G43" i="3"/>
  <c r="H43" i="3"/>
  <c r="I43" i="3"/>
  <c r="G44" i="3"/>
  <c r="H44" i="3"/>
  <c r="I44" i="3"/>
  <c r="G45" i="3"/>
  <c r="H45" i="3"/>
  <c r="I45" i="3"/>
  <c r="G46" i="3"/>
  <c r="H46" i="3"/>
  <c r="I46" i="3"/>
  <c r="G47" i="3"/>
  <c r="H47" i="3"/>
  <c r="I47" i="3"/>
  <c r="G48" i="3"/>
  <c r="H48" i="3"/>
  <c r="I48" i="3"/>
  <c r="G49" i="3"/>
  <c r="H49" i="3"/>
  <c r="I49" i="3"/>
  <c r="G50" i="3"/>
  <c r="H50" i="3"/>
  <c r="I50" i="3"/>
  <c r="F50" i="3"/>
  <c r="F49" i="3"/>
  <c r="F48" i="3"/>
  <c r="F47" i="3"/>
  <c r="F46" i="3"/>
  <c r="F45" i="3"/>
  <c r="F44" i="3"/>
  <c r="F43" i="3"/>
  <c r="F42" i="3"/>
  <c r="F41" i="3"/>
  <c r="H27" i="3"/>
  <c r="G28" i="3"/>
  <c r="H28" i="3"/>
  <c r="I28" i="3"/>
  <c r="G29" i="3"/>
  <c r="H29" i="3"/>
  <c r="I29" i="3"/>
  <c r="G30" i="3"/>
  <c r="H30" i="3"/>
  <c r="I30" i="3"/>
  <c r="G31" i="3"/>
  <c r="H31" i="3"/>
  <c r="I31" i="3"/>
  <c r="G32" i="3"/>
  <c r="H32" i="3"/>
  <c r="I32" i="3"/>
  <c r="G33" i="3"/>
  <c r="H33" i="3"/>
  <c r="I33" i="3"/>
  <c r="G34" i="3"/>
  <c r="H34" i="3"/>
  <c r="I34" i="3"/>
  <c r="G35" i="3"/>
  <c r="H35" i="3"/>
  <c r="I35" i="3"/>
  <c r="G36" i="3"/>
  <c r="H36" i="3"/>
  <c r="I36" i="3"/>
  <c r="F29" i="3"/>
  <c r="F28" i="3"/>
  <c r="F30" i="3"/>
  <c r="F31" i="3"/>
  <c r="F32" i="3"/>
  <c r="F33" i="3"/>
  <c r="F34" i="3"/>
  <c r="F35" i="3"/>
  <c r="F36" i="3"/>
  <c r="H79" i="3" l="1"/>
  <c r="F51" i="3"/>
  <c r="H65" i="3"/>
  <c r="H37" i="3"/>
  <c r="F69" i="3"/>
  <c r="F79" i="3" s="1"/>
  <c r="I42" i="8"/>
  <c r="I55" i="3" s="1"/>
  <c r="I65" i="3" s="1"/>
  <c r="F55" i="3"/>
  <c r="F65" i="3" s="1"/>
  <c r="H32" i="8"/>
  <c r="H41" i="3" s="1"/>
  <c r="H51" i="3" s="1"/>
  <c r="I32" i="8"/>
  <c r="I41" i="3" s="1"/>
  <c r="I51" i="3" s="1"/>
  <c r="I19" i="3" l="1"/>
  <c r="I18" i="3"/>
  <c r="I17" i="3"/>
  <c r="I16" i="3"/>
  <c r="I15" i="3"/>
  <c r="I14" i="3"/>
  <c r="I13" i="3"/>
  <c r="I12" i="3"/>
  <c r="I11" i="3"/>
  <c r="H19" i="3"/>
  <c r="H18" i="3"/>
  <c r="H17" i="3"/>
  <c r="H16" i="3"/>
  <c r="H15" i="3"/>
  <c r="H14" i="3"/>
  <c r="H13" i="3"/>
  <c r="H12" i="3"/>
  <c r="H11" i="3"/>
  <c r="G19" i="3"/>
  <c r="G18" i="3"/>
  <c r="G17" i="3"/>
  <c r="G16" i="3"/>
  <c r="G15" i="3"/>
  <c r="G14" i="3"/>
  <c r="G13" i="3"/>
  <c r="G12" i="3"/>
  <c r="G11" i="3"/>
  <c r="F19" i="3"/>
  <c r="F18" i="3"/>
  <c r="F17" i="3"/>
  <c r="F16" i="3"/>
  <c r="F15" i="3"/>
  <c r="F14" i="3"/>
  <c r="F13" i="3"/>
  <c r="F12" i="3"/>
  <c r="F11" i="3"/>
  <c r="D19" i="3"/>
  <c r="D18" i="3"/>
  <c r="D17" i="3"/>
  <c r="D16" i="3"/>
  <c r="D15" i="3"/>
  <c r="D14" i="3"/>
  <c r="D13" i="3"/>
  <c r="D12" i="3"/>
  <c r="D11" i="3" l="1"/>
  <c r="D27" i="8" l="1"/>
  <c r="I27" i="8" l="1"/>
  <c r="I27" i="3" s="1"/>
  <c r="I37" i="3" s="1"/>
  <c r="G42" i="8" l="1"/>
  <c r="G55" i="3" s="1"/>
  <c r="G65" i="3" s="1"/>
  <c r="H56" i="8"/>
  <c r="H10" i="3" s="1"/>
  <c r="H21" i="3" s="1"/>
  <c r="C22" i="20" s="1"/>
  <c r="J72" i="4" l="1"/>
  <c r="K79" i="5"/>
  <c r="C23" i="20" s="1"/>
  <c r="L79" i="5"/>
  <c r="K30" i="10"/>
  <c r="L30" i="10"/>
  <c r="C25" i="10"/>
  <c r="C24" i="10"/>
  <c r="C23" i="10"/>
  <c r="C22" i="10"/>
  <c r="C19" i="10"/>
  <c r="C18" i="10"/>
  <c r="C17" i="10"/>
  <c r="C16" i="10"/>
  <c r="C21" i="10"/>
  <c r="C15" i="10"/>
  <c r="C13" i="10"/>
  <c r="C12" i="10"/>
  <c r="C11" i="10"/>
  <c r="E68" i="4"/>
  <c r="E64" i="4"/>
  <c r="E34" i="4"/>
  <c r="E69" i="4" l="1"/>
  <c r="H70" i="4"/>
  <c r="H72" i="4"/>
  <c r="E24" i="20" s="1"/>
  <c r="D79" i="5"/>
  <c r="G15" i="8" l="1"/>
  <c r="G27" i="8" s="1"/>
  <c r="G27" i="3" s="1"/>
  <c r="G37" i="3" s="1"/>
  <c r="F15" i="8"/>
  <c r="F27" i="8" s="1"/>
  <c r="F27" i="3" s="1"/>
  <c r="F37" i="3" s="1"/>
  <c r="J74" i="5"/>
  <c r="I74" i="5"/>
  <c r="J73" i="5"/>
  <c r="I73" i="5"/>
  <c r="J71" i="5"/>
  <c r="I71" i="5"/>
  <c r="J63" i="5"/>
  <c r="I63" i="5"/>
  <c r="J58" i="5"/>
  <c r="I58" i="5"/>
  <c r="J57" i="5"/>
  <c r="I57" i="5"/>
  <c r="J55" i="5"/>
  <c r="I55" i="5"/>
  <c r="J47" i="5"/>
  <c r="I47" i="5"/>
  <c r="I42" i="5"/>
  <c r="J42" i="5"/>
  <c r="J41" i="5"/>
  <c r="I41" i="5"/>
  <c r="J31" i="5"/>
  <c r="I31" i="5"/>
  <c r="J39" i="5"/>
  <c r="I39" i="5"/>
  <c r="J26" i="5"/>
  <c r="I26" i="5"/>
  <c r="J25" i="5"/>
  <c r="I25" i="5"/>
  <c r="J23" i="5"/>
  <c r="I23" i="5"/>
  <c r="J15" i="5"/>
  <c r="I15" i="5"/>
  <c r="J79" i="5" l="1"/>
  <c r="E23" i="20" s="1"/>
  <c r="I79" i="5"/>
  <c r="B23" i="20" s="1"/>
  <c r="E25" i="10"/>
  <c r="E24" i="10"/>
  <c r="E23" i="10"/>
  <c r="E22" i="10"/>
  <c r="E21" i="10"/>
  <c r="J30" i="10" l="1"/>
  <c r="E21" i="20" s="1"/>
  <c r="G24" i="10"/>
  <c r="C20" i="1"/>
  <c r="D31" i="8" l="1"/>
  <c r="G32" i="8" l="1"/>
  <c r="G41" i="3" s="1"/>
  <c r="G51" i="3" s="1"/>
  <c r="D56" i="8"/>
  <c r="I53" i="8"/>
  <c r="I69" i="3" s="1"/>
  <c r="I79" i="3" s="1"/>
  <c r="G53" i="8"/>
  <c r="G69" i="3" s="1"/>
  <c r="G79" i="3" s="1"/>
  <c r="G56" i="8" l="1"/>
  <c r="G10" i="3" s="1"/>
  <c r="G21" i="3" s="1"/>
  <c r="E22" i="20" s="1"/>
  <c r="E25" i="20" s="1"/>
  <c r="I56" i="8"/>
  <c r="I10" i="3" s="1"/>
  <c r="I21" i="3" s="1"/>
  <c r="D22" i="20" s="1"/>
  <c r="D27" i="20" l="1"/>
  <c r="D17" i="20" s="1"/>
  <c r="G59" i="4"/>
  <c r="I72" i="4"/>
  <c r="C24" i="20" s="1"/>
  <c r="C27" i="20" s="1"/>
  <c r="D11" i="20" s="1"/>
  <c r="D12" i="20" s="1"/>
  <c r="E72" i="4"/>
  <c r="E19" i="10"/>
  <c r="E18" i="10"/>
  <c r="E17" i="10"/>
  <c r="E16" i="10"/>
  <c r="E15" i="10"/>
  <c r="E13" i="10"/>
  <c r="E12" i="10"/>
  <c r="E11" i="10"/>
  <c r="E10" i="10"/>
  <c r="E9" i="10"/>
  <c r="I30" i="10" l="1"/>
  <c r="B21" i="20" s="1"/>
  <c r="E30" i="10"/>
  <c r="G72" i="4"/>
  <c r="B24" i="20" s="1"/>
  <c r="G18" i="10"/>
  <c r="G12" i="10"/>
  <c r="C19" i="1"/>
  <c r="C18" i="1"/>
  <c r="C17" i="1"/>
  <c r="D10" i="3" l="1"/>
  <c r="D21" i="3" s="1"/>
  <c r="F56" i="8" l="1"/>
  <c r="F10" i="3" s="1"/>
  <c r="F21" i="3" s="1"/>
  <c r="B22" i="20" s="1"/>
  <c r="B25" i="20" s="1"/>
  <c r="B27" i="20" s="1"/>
  <c r="E26" i="20" l="1"/>
  <c r="E27" i="20" s="1"/>
  <c r="D9" i="20" s="1"/>
  <c r="D14" i="20" s="1"/>
  <c r="D15" i="20" l="1"/>
</calcChain>
</file>

<file path=xl/sharedStrings.xml><?xml version="1.0" encoding="utf-8"?>
<sst xmlns="http://schemas.openxmlformats.org/spreadsheetml/2006/main" count="1778" uniqueCount="558">
  <si>
    <t>Energía</t>
  </si>
  <si>
    <t>Amortización (si la antigüedad es inferior al periodo de amortización)</t>
  </si>
  <si>
    <t>Tiempo de utilización anual del equipo en horas</t>
  </si>
  <si>
    <t>Fungibles/Fluidos</t>
  </si>
  <si>
    <t>Mantenimiento del Equipo 1 (incluyendo calibraciones preprogramadas)</t>
  </si>
  <si>
    <t>Costes de gestión</t>
  </si>
  <si>
    <t>Mantenimiento y reparación</t>
  </si>
  <si>
    <t xml:space="preserve">Uso de la instalación/infraestructura 1 (específica que actúe de modo indivisible en la prestación) </t>
  </si>
  <si>
    <t>Técnico Especializado OPI</t>
  </si>
  <si>
    <t>Tecnólogos de OPI</t>
  </si>
  <si>
    <t>Doctor FC1</t>
  </si>
  <si>
    <t>Doctor FC2</t>
  </si>
  <si>
    <t>Doctor FC3</t>
  </si>
  <si>
    <t>Titulado Superior FC1</t>
  </si>
  <si>
    <t>Campaña 2025: Tabla IVA</t>
  </si>
  <si>
    <t>IVA</t>
  </si>
  <si>
    <t>IVA no  Deducible</t>
  </si>
  <si>
    <t>% Marginal</t>
  </si>
  <si>
    <t>CSIC BIENES ADQUIRIDOS</t>
  </si>
  <si>
    <t>PERIODO AMORTIZACIÓN (años)*</t>
  </si>
  <si>
    <t>Equipos e Instrumental Científico</t>
  </si>
  <si>
    <t>Equipos para Proceso de Información</t>
  </si>
  <si>
    <t>Incremento para AGE/OPIs/Universidades (%)</t>
  </si>
  <si>
    <t>Incremento para otros usuarios (%)</t>
  </si>
  <si>
    <t>COSTE TOTAL (€)</t>
  </si>
  <si>
    <t>TOTAL IMPORTE SIN IVA (€)</t>
  </si>
  <si>
    <t>Coste/hora según tipo personal (€)</t>
  </si>
  <si>
    <t>EQUIPO 1</t>
  </si>
  <si>
    <t>UTILIZACIÓN DEL EQUIPO 1</t>
  </si>
  <si>
    <t>EQUIPO 2</t>
  </si>
  <si>
    <t>EQUIPO 3</t>
  </si>
  <si>
    <t>EQUIPO 4</t>
  </si>
  <si>
    <t>Campo rellenable de descripción del equipo</t>
  </si>
  <si>
    <t>MANTENIMIENTO EQUIPO 1</t>
  </si>
  <si>
    <t>ARRANQUE/ENFRIAMIENTO EQUIPO 1</t>
  </si>
  <si>
    <t>CALIBRACIÓN INTERMEDIA DEL EQUIPO 1</t>
  </si>
  <si>
    <t>CONCEPTOS</t>
  </si>
  <si>
    <t>Personal</t>
  </si>
  <si>
    <t>Servicio</t>
  </si>
  <si>
    <t>Nombre variante</t>
  </si>
  <si>
    <t>INSTALACIÓN/INFRAESTRUCTURA 1</t>
  </si>
  <si>
    <t>INSTALACIÓN/INFRAESTRUCTURA 2</t>
  </si>
  <si>
    <t>INSTALACIÓN/INFRAESTRUCTURA 3</t>
  </si>
  <si>
    <t>INSTALACIÓN/INFRAESTRUCTURA 4</t>
  </si>
  <si>
    <t>Campo rellenable de descripción de la instalación/infraestructura</t>
  </si>
  <si>
    <t xml:space="preserve">Uso de la instalación/infraestructura 2 (específica que actúe de modo indivisible en la prestación) </t>
  </si>
  <si>
    <t xml:space="preserve">Uso de la instalación/infraestructura 3 (específica que actúe de modo indivisible en la prestación) </t>
  </si>
  <si>
    <t xml:space="preserve">Uso de la instalación/infraestructura 4 (específica que actúe de modo indivisible en la prestación) </t>
  </si>
  <si>
    <t xml:space="preserve">Software 1 </t>
  </si>
  <si>
    <t>Instituto/Centro/Unidad</t>
  </si>
  <si>
    <t>Cod. Servicio</t>
  </si>
  <si>
    <t>DATOS GENERALES</t>
  </si>
  <si>
    <t>Breve descripción de fungibles/fluidos utilizados -&gt;</t>
  </si>
  <si>
    <t>Prestación</t>
  </si>
  <si>
    <t>Equipamiento</t>
  </si>
  <si>
    <t xml:space="preserve">INDIQUE EL Nº DE EQUIPOS A USAR </t>
  </si>
  <si>
    <t>EQUIPOS</t>
  </si>
  <si>
    <t>EQUIPO 5</t>
  </si>
  <si>
    <t>EQUIPO 6</t>
  </si>
  <si>
    <t>EQUIPO 7</t>
  </si>
  <si>
    <t>EQUIPO 8</t>
  </si>
  <si>
    <t>EQUIPO 9</t>
  </si>
  <si>
    <t>EQUIPO 10</t>
  </si>
  <si>
    <t>IR A LA HOJA DEL EQUIPO</t>
  </si>
  <si>
    <t>DATOS DE LA VARIANTE A INCLUIR</t>
  </si>
  <si>
    <t>DESCRIPCIÓN DE LA UTILIZACIÓN</t>
  </si>
  <si>
    <t>Amortización</t>
  </si>
  <si>
    <t>IR A EQUIPO 1</t>
  </si>
  <si>
    <t>Rellenar en caso de equipamiento en periodo de amortización</t>
  </si>
  <si>
    <t>→</t>
  </si>
  <si>
    <t>IR A INSTALACIÓN/INFRAESTRUCTURA 1</t>
  </si>
  <si>
    <t>IR A INSTALACIÓN/INFRAESTRUCTURA 2</t>
  </si>
  <si>
    <t>IR A INSTALACIÓN/INFRAESTRUCTURA 3</t>
  </si>
  <si>
    <t>IR A INSTALACIÓN/INFRAESTRUCTURA 4</t>
  </si>
  <si>
    <t>OTROS: FUNGIBLES/FLUIDOS</t>
  </si>
  <si>
    <t>OTROS: SOFTWARE</t>
  </si>
  <si>
    <t>OTROS: SUBCONTRATACIONES</t>
  </si>
  <si>
    <t>OTROS: CERTIFICACIONES</t>
  </si>
  <si>
    <t>IR A EQUIPO 2</t>
  </si>
  <si>
    <t>IR A EQUIPO 3</t>
  </si>
  <si>
    <t>IR A EQUIPO 4</t>
  </si>
  <si>
    <t>IR A EQUIPO 5</t>
  </si>
  <si>
    <t>IR A EQUIPO 6</t>
  </si>
  <si>
    <t>IR A EQUIPO 7</t>
  </si>
  <si>
    <t>IR A EQUIPO 8</t>
  </si>
  <si>
    <t>IR A EQUIPO 9</t>
  </si>
  <si>
    <t>IR A EQUIPO 10</t>
  </si>
  <si>
    <t>HOJAS A RELLENAR</t>
  </si>
  <si>
    <t>VOLVER A EQUIPAMIENTO</t>
  </si>
  <si>
    <t>(Campo desplegable)</t>
  </si>
  <si>
    <t>UTILIZACIÓN DEL EQUIPO 2</t>
  </si>
  <si>
    <t>MANTENIMIENTO EQUIPO 2</t>
  </si>
  <si>
    <t>ARRANQUE/ENFRIAMIENTO EQUIPO 2</t>
  </si>
  <si>
    <t>CALIBRACIÓN INTERMEDIA DEL EQUIPO 2</t>
  </si>
  <si>
    <t>UTILIZACIÓN DEL EQUIPO 3</t>
  </si>
  <si>
    <t>MANTENIMIENTO EQUIPO 3</t>
  </si>
  <si>
    <t>ARRANQUE/ENFRIAMIENTO EQUIPO 3</t>
  </si>
  <si>
    <t>CALIBRACIÓN INTERMEDIA DEL EQUIPO 3</t>
  </si>
  <si>
    <t>UTILIZACIÓN DEL EQUIPO 4</t>
  </si>
  <si>
    <t>MANTENIMIENTO EQUIPO 4</t>
  </si>
  <si>
    <t>ARRANQUE/ENFRIAMIENTO EQUIPO 4</t>
  </si>
  <si>
    <t>CALIBRACIÓN INTERMEDIA DEL EQUIPO 4</t>
  </si>
  <si>
    <t>UTILIZACIÓN DEL EQUIPO 5</t>
  </si>
  <si>
    <t>MANTENIMIENTO EQUIPO 5</t>
  </si>
  <si>
    <t>ARRANQUE/ENFRIAMIENTO EQUIPO 5</t>
  </si>
  <si>
    <t>CALIBRACIÓN INTERMEDIA DEL EQUIPO 5</t>
  </si>
  <si>
    <t>UTILIZACIÓN DEL EQUIPO 6</t>
  </si>
  <si>
    <t>MANTENIMIENTO EQUIPO 6</t>
  </si>
  <si>
    <t>ARRANQUE/ENFRIAMIENTO EQUIPO 6</t>
  </si>
  <si>
    <t>CALIBRACIÓN INTERMEDIA DEL EQUIPO 6</t>
  </si>
  <si>
    <t>UTILIZACIÓN DEL EQUIPO 7</t>
  </si>
  <si>
    <t>MANTENIMIENTO EQUIPO 7</t>
  </si>
  <si>
    <t>ARRANQUE/ENFRIAMIENTO EQUIPO 7</t>
  </si>
  <si>
    <t>CALIBRACIÓN INTERMEDIA DEL EQUIPO 7</t>
  </si>
  <si>
    <t>UTILIZACIÓN DEL EQUIPO 8</t>
  </si>
  <si>
    <t>MANTENIMIENTO EQUIPO 8</t>
  </si>
  <si>
    <t>ARRANQUE/ENFRIAMIENTO EQUIPO 8</t>
  </si>
  <si>
    <t>CALIBRACIÓN INTERMEDIA DEL EQUIPO 8</t>
  </si>
  <si>
    <t>UTILIZACIÓN DEL EQUIPO 9</t>
  </si>
  <si>
    <t>MANTENIMIENTO EQUIPO 9</t>
  </si>
  <si>
    <t>ARRANQUE/ENFRIAMIENTO EQUIPO 9</t>
  </si>
  <si>
    <t>CALIBRACIÓN INTERMEDIA DEL EQUIPO 9</t>
  </si>
  <si>
    <t>UTILIZACIÓN DEL EQUIPO 10</t>
  </si>
  <si>
    <t>MANTENIMIENTO EQUIPO 10</t>
  </si>
  <si>
    <t>ARRANQUE/ENFRIAMIENTO EQUIPO 10</t>
  </si>
  <si>
    <t>CALIBRACIÓN INTERMEDIA DEL EQUIPO 10</t>
  </si>
  <si>
    <t>hora o fracción</t>
  </si>
  <si>
    <t>informe</t>
  </si>
  <si>
    <t>LA VARIANTE INCLUYE</t>
  </si>
  <si>
    <t>TOTAL IMPORTE 
SIN IVA (€)</t>
  </si>
  <si>
    <t>Coste/hora x tiempo</t>
  </si>
  <si>
    <t>TOTAL IMPORTE(€)</t>
  </si>
  <si>
    <t>Servicios generales y científicos</t>
  </si>
  <si>
    <t>Fungibles/Fluidos (para cada tipo o grupo de fungibles/fluidos consumidos con el uso de la instalación/infraestructura)</t>
  </si>
  <si>
    <t xml:space="preserve">Participación de la infraestructura en convocatorias "Integrating and opening research infrastructures of European interest" </t>
  </si>
  <si>
    <t>Otros fungibles/Fluidos 1</t>
  </si>
  <si>
    <t>Otros fungibles/Fluidos 2</t>
  </si>
  <si>
    <t>Otros fungibles/Fluidos 3</t>
  </si>
  <si>
    <t>CENTRO ANDALUZ DE BIOLOGIA DEL DESARROLLO (CABD-050167)</t>
  </si>
  <si>
    <t>CENTRO ANDALUZ DE BIOLOGIA MOLECULAR Y MEDICINA REGENERATIVA (CABIMER-050564)</t>
  </si>
  <si>
    <t>CENTRO DE ASTROBIOLOGIA (CAB-010664)</t>
  </si>
  <si>
    <t>CENTRO DE AUTOMATICA Y ROBOTICA (CAR-010564)</t>
  </si>
  <si>
    <t>CENTRO DE BIOLOGIA MOLECULAR SEVERO OCHOA (CBM-050105)</t>
  </si>
  <si>
    <t>CENTRO DE BIOTECNOLOGIA Y GENOMICA DE PLANTAS (CBGP-060161)</t>
  </si>
  <si>
    <t>CENTRO DE CIENCIAS HUMANAS Y SOCIALES (CCHS-120307)</t>
  </si>
  <si>
    <t>CENTRO DE EDAFOLOGIA Y BIOLOGIA APLICADA DEL SEGURA (CEBAS-090202)</t>
  </si>
  <si>
    <t>CENTRO DE ESTUDIOS AVANZADOS DE BLANES (CEAB-000107)</t>
  </si>
  <si>
    <t>CENTRO DE FISICA DE MATERIALES (CFM-010162)</t>
  </si>
  <si>
    <t>CENTRO DE FISICA MIGUEL A. CATALAN (CFMAC-010105)</t>
  </si>
  <si>
    <t>CENTRO DE FISICA TEORICA Y MATEMATICAS (CFTMAT-000260)</t>
  </si>
  <si>
    <t>CENTRO DE INVESTIGACION AGRIGENOMICA (CRAG-750102)</t>
  </si>
  <si>
    <t>CENTRO DE INVESTIGACION ECOLOGICA Y APLICACIONES FORESTALES (CREAF-060461)</t>
  </si>
  <si>
    <t>CENTRO DE INVESTIGACION EN NANOCIENCIA Y NANOTECNOLOGIA (CIN2-010268)</t>
  </si>
  <si>
    <t>CENTRO DE INVESTIGACION EN NANOMATERIALES Y NANOTECNOLOGIA (CINN-010269)</t>
  </si>
  <si>
    <t>CENTRO DE INVESTIGACION EN SANIDAD ANIMAL (CISA-100103)</t>
  </si>
  <si>
    <t>CENTRO DE INVESTIGACION Y DESARROLLO PASCUAL VILA (CID-040105)</t>
  </si>
  <si>
    <t>CENTRO DE INVESTIGACIONES BIOLOGICAS MARGARITA SALAS (CIB-050204)</t>
  </si>
  <si>
    <t>CENTRO DE INVESTIGACIONES CIENTIFICAS ISLA DE LA CARTUJA (CICCARTUJA-020103)</t>
  </si>
  <si>
    <t>CENTRO DE INVESTIGACIONES INTERDISCIPLINARES DE ALCALA (CI2A-050602)</t>
  </si>
  <si>
    <t>CENTRO DE INVESTIGACIONES SOBRE DESERTIFICACION (CIDE-080164)</t>
  </si>
  <si>
    <t>CENTRO DE NEUROCIENCIAS CAJAL (CNC-050605)</t>
  </si>
  <si>
    <t>CENTRO DE QUIMICA ORGANICA LORA TAMAYO (CENQUIOR-020306)</t>
  </si>
  <si>
    <t>CENTRO DE QUIMICA Y MATERIALES DE ARAGON (CEQMA-020160)</t>
  </si>
  <si>
    <t>CENTRO DE RECURSOS FITOGENETICOS Y AGRICULTURA SOSTENIBLE (CRF-600001)</t>
  </si>
  <si>
    <t>CENTRO MEDITERRANEO DE INVESTIGACIONES MARINAS Y AMBIENTALES (CMIMA-070105)</t>
  </si>
  <si>
    <t>CENTRO NACIONAL DE ACELERADORES (CNA-010169)</t>
  </si>
  <si>
    <t>CENTRO NACIONAL DE BIOTECNOLOGIA (CNB-050402)</t>
  </si>
  <si>
    <t>CENTRO NACIONAL DE INVESTIGACIONES METALURGICAS (CENIM-040201)</t>
  </si>
  <si>
    <t>CENTRO NACIONAL DE MICROELECTRONICA (CNM-010207)</t>
  </si>
  <si>
    <t>CENTRO OCEANOGRAFICO DE A CORUÑA (COAC-070501)</t>
  </si>
  <si>
    <t>CENTRO OCEANOGRAFICO DE CADIZ (COCAD-070509)</t>
  </si>
  <si>
    <t>CENTRO OCEANOGRAFICO DE CANARIAS (COC-070507)</t>
  </si>
  <si>
    <t>CENTRO OCEANOGRAFICO DE GIJON (COG-070508)</t>
  </si>
  <si>
    <t>CENTRO OCEANOGRAFICO DE ILLES BALEARS (COB-070506)</t>
  </si>
  <si>
    <t>CENTRO OCEANOGRAFICO DE MALAGA (COMA-070503)</t>
  </si>
  <si>
    <t>CENTRO OCEANOGRAFICO DE MURCIA (COMU-070505)</t>
  </si>
  <si>
    <t>CENTRO OCEANOGRAFICO DE SANTANDER (COST-070502)</t>
  </si>
  <si>
    <t>CENTRO OCEANOGRAFICO DE VIGO (COV-070504)</t>
  </si>
  <si>
    <t>ESCUELA ESPANOLA DE HISTORIA Y ARQUEOLOGIA (EEHAR-120202)</t>
  </si>
  <si>
    <t>ESTACION BIOLOGICA DE DOÑANA (EBD-060401)</t>
  </si>
  <si>
    <t>ESTACION EXPERIMENTAL DE ZONAS ARIDAS (EEZA-060403)</t>
  </si>
  <si>
    <t>ESTACION EXPERIMENTAL DEL ZAIDIN (EEZ-090201)</t>
  </si>
  <si>
    <t>GEOCIENCIAS BARCELONA (GEO3BCN-030102)</t>
  </si>
  <si>
    <t>INSTITUCION MILA Y FONTANALS DE INVESTIGACION EN HUMANIDADES (IMF-130205)</t>
  </si>
  <si>
    <t>INSTITUTO BIOFISIKA (IBF-050569)</t>
  </si>
  <si>
    <t>INSTITUTO BOTANICO DE BARCELONA (IBB-060163)</t>
  </si>
  <si>
    <t>INSTITUTO DE ACUICULTURA TORRE DE LA SAL (IATS-070301)</t>
  </si>
  <si>
    <t>INSTITUTO DE AGRICULTURA SOSTENIBLE (IAS-080109)</t>
  </si>
  <si>
    <t>INSTITUTO DE ARQUEOLOGIA-MERIDA (IAM-120263)</t>
  </si>
  <si>
    <t>INSTITUTO DE ASTROFISICA DE ANDALUCIA (IAA-010601)</t>
  </si>
  <si>
    <t>INSTITUTO DE BIOLOGIA EVOLUTIVA (IBE-050163)</t>
  </si>
  <si>
    <t>INSTITUTO DE BIOLOGIA INTEGRATIVA DE SISTEMAS (I2SYSBIO-050961)</t>
  </si>
  <si>
    <t>INSTITUTO DE BIOLOGIA MOLECULAR DE BARCELONA (IBMB-050102)</t>
  </si>
  <si>
    <t>INSTITUTO DE BIOLOGIA MOLECULAR Y CELULAR DE PLANTAS PRIMO YUFERA (IBMCP-050169)</t>
  </si>
  <si>
    <t>INSTITUTO DE BIOMEDICINA DE SEVILLA (IBIS-050561)</t>
  </si>
  <si>
    <t>INSTITUTO DE BIOMEDICINA DE VALENCIA (IBV-050507)</t>
  </si>
  <si>
    <t>INSTITUTO DE BIOMEDICINA Y BIOTECNOLOGIA DE CANTABRIA (IBBTEC-050463)</t>
  </si>
  <si>
    <t>INSTITUTO DE BIOMEDICINA Y GENETICA MOLECULAR DE VALLADOLID (IBGM-050164)</t>
  </si>
  <si>
    <t>INSTITUTO DE BIOQUIMICA VEGETAL Y FOTOSINTESIS (IBVF-050505)</t>
  </si>
  <si>
    <t>INSTITUTO DE CARBOQUIMICA (ICB-020403)</t>
  </si>
  <si>
    <t>INSTITUTO DE CATALISIS Y PETROLEOQUIMICA (ICP-020401)</t>
  </si>
  <si>
    <t>INSTITUTO DE CERAMICA Y VIDRIO (ICV-040301)</t>
  </si>
  <si>
    <t>INSTITUTO DE CIENCIA DE MATERIALES DE BARCELONA (ICMAB-020102)</t>
  </si>
  <si>
    <t>INSTITUTO DE CIENCIA DE MATERIALES DE MADRID (ICMM-010101)</t>
  </si>
  <si>
    <t>INSTITUTO DE CIENCIA DE MATERIALES DE SEVILLA (ICMS-020165)</t>
  </si>
  <si>
    <t>INSTITUTO DE CIENCIA Y TECNOLOGIA DE ALIMENTOS Y NUTRICION (ICTAN-110102)</t>
  </si>
  <si>
    <t>INSTITUTO DE CIENCIA Y TECNOLOGIA DE POLIMEROS (ICTP-020402)</t>
  </si>
  <si>
    <t>INSTITUTO DE CIENCIA Y TECNOLOGIA DEL CARBONO (INCAR-040102)</t>
  </si>
  <si>
    <t>INSTITUTO DE CIENCIAS AGRARIAS (ICA-090105)</t>
  </si>
  <si>
    <t>INSTITUTO DE CIENCIAS DE LA CONSTRUCCION EDUARDO TORROJA (IETCC-040302)</t>
  </si>
  <si>
    <t>INSTITUTO DE CIENCIAS DE LA VID Y DEL VINO (ICVV-110163)</t>
  </si>
  <si>
    <t>INSTITUTO DE CIENCIAS DEL ESPACIO (ICE-010605)</t>
  </si>
  <si>
    <t>INSTITUTO DE CIENCIAS DEL MAR (ICM-070103)</t>
  </si>
  <si>
    <t>INSTITUTO DE CIENCIAS DEL PATRIMONIO (INCIPIT-160109)</t>
  </si>
  <si>
    <t>INSTITUTO DE CIENCIAS FORESTALES (ICIFOR-090102)</t>
  </si>
  <si>
    <t>INSTITUTO DE CIENCIAS MARINAS DE ANDALUCIA (ICMAN-070302)</t>
  </si>
  <si>
    <t>INSTITUTO DE CIENCIAS MATEMATICAS (ICMAT-000166)</t>
  </si>
  <si>
    <t>INSTITUTO DE DIAGNOSTICO AMBIENTAL Y ESTUDIOS DEL AGUA (IDAEA-030502)</t>
  </si>
  <si>
    <t>INSTITUTO DE ECONOMIA, GEOGRAFIA Y DEMOGRAFIA (IEGD-160105)</t>
  </si>
  <si>
    <t>INSTITUTO DE ESTRUCTURA DE LA MATERIA (IEM-010103)</t>
  </si>
  <si>
    <t>INSTITUTO DE ESTUDIOS GALLEGOS PADRE SARMIENTO (IEGPS-200101)</t>
  </si>
  <si>
    <t>INSTITUTO DE ESTUDIOS SOCIALES AVANZADOS (IESA-160107)</t>
  </si>
  <si>
    <t>INSTITUTO DE FILOSOFIA (IFS-150102)</t>
  </si>
  <si>
    <t>INSTITUTO DE FISICA CORPUSCULAR (IFIC-010166)</t>
  </si>
  <si>
    <t>INSTITUTO DE FISICA DE CANTABRIA (IFCA-010167)</t>
  </si>
  <si>
    <t>INSTITUTO DE FISICA FUNDAMENTAL (IFF-010164)</t>
  </si>
  <si>
    <t>INSTITUTO DE FISICA INTERDISCIPLINAR Y SISTEMAS COMPLEJOS (IFISC-010267)</t>
  </si>
  <si>
    <t>INSTITUTO DE FISICA TEORICA (IFT-010168)</t>
  </si>
  <si>
    <t>INSTITUTO DE GANADERIA DE MONTAÑA (IGM-100102)</t>
  </si>
  <si>
    <t>INSTITUTO DE GEOCIENCIAS (IGEO-030262)</t>
  </si>
  <si>
    <t>INSTITUTO DE GESTION DE LA INNOVACION Y DEL CONOCIMIENTO (INGENIO-210561)</t>
  </si>
  <si>
    <t>INSTITUTO DE HISTORIA (IH-120105)</t>
  </si>
  <si>
    <t>INSTITUTO DE HORTOFRUTICULTURA SUBTROPICAL Y MEDITERRANEA LA MAYORA (IHSM-090266)</t>
  </si>
  <si>
    <t>INSTITUTO DE INSTRUMENTACION PARA IMAGEN MOLECULAR (I3M-010165)</t>
  </si>
  <si>
    <t>INSTITUTO DE INVESTIGACION EN CIENCIAS DE LA ALIMENTACION (CIAL-110169)</t>
  </si>
  <si>
    <t>INSTITUTO DE INVESTIGACION EN INTELIGENCIA ARTIFICIAL (IIIA-010108)</t>
  </si>
  <si>
    <t>INSTITUTO DE INVESTIGACION EN RECURSOS CINEGETICOS (IREC-060469)</t>
  </si>
  <si>
    <t>INSTITUTO DE INVESTIGACIONES BIOMEDICAS DE BARCELONA (IIBB-050506)</t>
  </si>
  <si>
    <t>INSTITUTO DE INVESTIGACIONES BIOMEDICAS SOLS-MORREALE (IIBM-050501)</t>
  </si>
  <si>
    <t>INSTITUTO DE INVESTIGACIONES MARINAS (IIM-070401)</t>
  </si>
  <si>
    <t>INSTITUTO DE INVESTIGACIONES QUIMICAS (IIQ-020303)</t>
  </si>
  <si>
    <t>INSTITUTO DE LA GRASA (IG-110101)</t>
  </si>
  <si>
    <t>INSTITUTO DE LENGUA, LITERATURA Y ANTROPOLOGIA (ILLA-130101)</t>
  </si>
  <si>
    <t>INSTITUTO DE LENGUAS Y CULTURAS DEL MEDITERRANEO Y ORIENTE PROXIMO (ILC-130103)</t>
  </si>
  <si>
    <t>INSTITUTO DE MICRO Y NANOTECNOLOGIA (IMN-CNM-010205)</t>
  </si>
  <si>
    <t>INSTITUTO DE MICROELECTRONICA DE BARCELONA (IMB-CNM-010203)</t>
  </si>
  <si>
    <t>INSTITUTO DE MICROELECTRONICA DE SEVILLA (IMSE-CNM-010204)</t>
  </si>
  <si>
    <t>INSTITUTO DE NANOCIENCIA Y MATERIALES DE ARAGON (INMA-020164)</t>
  </si>
  <si>
    <t>INSTITUTO DE NEUROCIENCIAS (IN-050666)</t>
  </si>
  <si>
    <t>INSTITUTO DE OPTICA DAZA DE VALDES (IO-010301)</t>
  </si>
  <si>
    <t>INSTITUTO DE PARASITOLOGIA Y BIOMEDICINA LOPEZ NEYRA (IPBLN-060301)</t>
  </si>
  <si>
    <t>INSTITUTO DE POLITICAS Y BIENES PUBLICOS (IPP-160106)</t>
  </si>
  <si>
    <t>INSTITUTO DE PRODUCTOS LACTEOS DE ASTURIAS (IPLA-110108)</t>
  </si>
  <si>
    <t>INSTITUTO DE PRODUCTOS NATURALES Y AGROBIOLOGIA (IPNA-020302)</t>
  </si>
  <si>
    <t>INSTITUTO DE QUIMICA AVANZADA DE CATALUÑA (IQAC-020405)</t>
  </si>
  <si>
    <t>INSTITUTO DE QUIMICA FISICA BLAS CABRERA (IQF-020101)</t>
  </si>
  <si>
    <t>INSTITUTO DE QUIMICA MEDICA (IQM-020404)</t>
  </si>
  <si>
    <t>INSTITUTO DE QUIMICA ORGANICA GENERAL (IQOG-020301)</t>
  </si>
  <si>
    <t>INSTITUTO DE RECURSOS NATURALES Y AGROBIOLOGIA DE SALAMANCA (IRNASA-080102)</t>
  </si>
  <si>
    <t>INSTITUTO DE RECURSOS NATURALES Y AGROBIOLOGIA DE SEVILLA (IRNAS-080103)</t>
  </si>
  <si>
    <t>INSTITUTO DE ROBOTICA E INFORMATICA INDUSTRIAL (IRI-010563)</t>
  </si>
  <si>
    <t>INSTITUTO DE SINTESIS QUIMICA Y CATALISIS HOMOGENEA (ISQCH-020460)</t>
  </si>
  <si>
    <t>INSTITUTO DE TECNOLOGIA QUIMICA (ITQ-020166)</t>
  </si>
  <si>
    <t>INSTITUTO DE TECNOLOGIAS FISICAS Y DE LA INFORMACION LEONARDO TORRES QUEVEDO (ITEFI-010208)</t>
  </si>
  <si>
    <t>INSTITUTO ESPAÑOL DE OCEANOGRAFIA (IEO-070511)</t>
  </si>
  <si>
    <t>INSTITUTO GEOLOGICO Y MINERO DE ESPAÑA (IGME-030611)</t>
  </si>
  <si>
    <t>INSTITUTO MEDITERRANEO DE ESTUDIOS AVANZADOS (IMEDEA-000168)</t>
  </si>
  <si>
    <t>INSTITUTO MIXTO DE INVESTIGACION EN BIODIVERSIDAD (IMIB-060562)</t>
  </si>
  <si>
    <t>INSTITUTO NACIONAL DE INVESTIGACION Y TECNOLOGIA AGRARIA Y ALIMENTARIA (INIA-090311)</t>
  </si>
  <si>
    <t>INSTITUTO PIRENAICO DE ECOLOGIA (IPE-060402)</t>
  </si>
  <si>
    <t>MISION BIOLOGICA DE GALICIA (MBG-090204)</t>
  </si>
  <si>
    <t>MUSEO CAJAL (MC-050604)</t>
  </si>
  <si>
    <t>MUSEO NACIONAL DE CIENCIAS NATURALES (MNCN-060501)</t>
  </si>
  <si>
    <t>REAL JARDIN BOTANICO (RJB-060102)</t>
  </si>
  <si>
    <t>RESIDENCIA DE INVESTIGADORES Y BIBLIOTECA DE SEVILLA (REBIS-800306)</t>
  </si>
  <si>
    <t>UNIDAD DE TECNOLOGIA MARINA (UTM-070102)</t>
  </si>
  <si>
    <t>VOLVER ARRIBA</t>
  </si>
  <si>
    <t>Fecha de adquisición</t>
  </si>
  <si>
    <t>dd/mm/aaaa</t>
  </si>
  <si>
    <t>Amortización de las licencias y actualizaciones de programas y aplicaciones utilizados, adquiridas de forma independiente a los equipos y que sean disociables a estos (por ejemplo una actualización o nuevo software necesario para la prestación. Periodo amortización: A=3)</t>
  </si>
  <si>
    <t xml:space="preserve">Software 2 </t>
  </si>
  <si>
    <t>Tiempo de utilización anual del software en horas</t>
  </si>
  <si>
    <t>Importe (€)</t>
  </si>
  <si>
    <t>Instalación/Infraestructura</t>
  </si>
  <si>
    <t>¿La infraestructura participa en convocatorias "Integrating and opening research infrastructures of European interest"?</t>
  </si>
  <si>
    <t>Otros</t>
  </si>
  <si>
    <t>TOTAL IMPORTE
 SIN IVA (€)</t>
  </si>
  <si>
    <t xml:space="preserve">4. PERSONAL NO CSIC (FUNCIONARIO/LABORAL)
Cumplimentar únicamente en caso de CENTROS MIXTOS </t>
  </si>
  <si>
    <t xml:space="preserve">Lista desplegable tipo personal 
(véase "Tabla costes personal" en "Referencias") </t>
  </si>
  <si>
    <t>Otros fungibles/Fluidos 4</t>
  </si>
  <si>
    <t>Coste NO elegible (€)</t>
  </si>
  <si>
    <t>ELEGIBLE EUROPEOS</t>
  </si>
  <si>
    <t>NO ELEGIBLE EUROPEOS</t>
  </si>
  <si>
    <t>MARGINAL</t>
  </si>
  <si>
    <t>AMORTIZACIÓN</t>
  </si>
  <si>
    <t>X</t>
  </si>
  <si>
    <t>TOTAL ELEGIBLE EUROPEOS (€)</t>
  </si>
  <si>
    <t>TOTAL NO ELEGIBLE EUROPEOS (€)</t>
  </si>
  <si>
    <t>TOTAL MARGINAL (€)</t>
  </si>
  <si>
    <t>TOTAL AMORTIZACIÓN (€)</t>
  </si>
  <si>
    <t>PERSONAL CSIC DE PLANTILLA (COSTES/HORA)</t>
  </si>
  <si>
    <t>UNIDADES DE MEDIDA</t>
  </si>
  <si>
    <t>LISTA DE CENTROS/INSTITUTOS</t>
  </si>
  <si>
    <t>PERSONAL CSIC CONTRATADO (COSTES/HORA)</t>
  </si>
  <si>
    <t>PERSONAL CSIC ASOCIADO A CONCEPTOS NO ELEGIBLES (COSTES/HORA)</t>
  </si>
  <si>
    <t>PERSONAL</t>
  </si>
  <si>
    <t>INSTALACIONES/INFRAESTRUCTURAS</t>
  </si>
  <si>
    <t>IVA NO DEDUCIBLE</t>
  </si>
  <si>
    <t>Según tabla aprobada de costes unitarios (en casos no tabulados según coste-empresa salarial real) aplicada al tiempo de intervención de cada persona interviniente en el desarrollo de la variante</t>
  </si>
  <si>
    <t>Suma del coste total para otros, implicado en el desarrollo de la variante</t>
  </si>
  <si>
    <t>NO APLICA</t>
  </si>
  <si>
    <t>UTILIZACIÓN</t>
  </si>
  <si>
    <t>MANTENIMIENTO</t>
  </si>
  <si>
    <t>ARRANQUE/ENFRIAMIENTO</t>
  </si>
  <si>
    <t>CALIBRACIÓN</t>
  </si>
  <si>
    <t>TOTAL</t>
  </si>
  <si>
    <t>COSTES INDIRECTOS
(23,5% de la suma de costes elegibles y no elegibles)</t>
  </si>
  <si>
    <t>TOTAL COSTES EQUIPAMIENTO</t>
  </si>
  <si>
    <t>1. PERSONAL CSIC DE PLANTILLA (funcionarios y laborales fijos)</t>
  </si>
  <si>
    <r>
      <t>2. PERSONAL CSIC CONTRATADO</t>
    </r>
    <r>
      <rPr>
        <b/>
        <i/>
        <sz val="14"/>
        <color rgb="FFFF0000"/>
        <rFont val="Calibri"/>
        <family val="2"/>
        <scheme val="minor"/>
      </rPr>
      <t xml:space="preserve"> </t>
    </r>
  </si>
  <si>
    <t>EQUIPO UTILIZADO</t>
  </si>
  <si>
    <r>
      <rPr>
        <b/>
        <i/>
        <u/>
        <sz val="16"/>
        <color theme="1"/>
        <rFont val="Calibri"/>
        <family val="2"/>
        <scheme val="minor"/>
      </rPr>
      <t>INSTALACIÓN/INFRAESTRUCTURA</t>
    </r>
    <r>
      <rPr>
        <b/>
        <i/>
        <sz val="16"/>
        <color theme="1"/>
        <rFont val="Calibri"/>
        <family val="2"/>
        <scheme val="minor"/>
      </rPr>
      <t xml:space="preserve"> UTILIZADO
(específica que actúe de modo indivisible en la prestación) </t>
    </r>
  </si>
  <si>
    <r>
      <t>Indique si la energía es:
-</t>
    </r>
    <r>
      <rPr>
        <b/>
        <u/>
        <sz val="12"/>
        <color theme="1"/>
        <rFont val="Calibri"/>
        <family val="2"/>
        <scheme val="minor"/>
      </rPr>
      <t>Medida</t>
    </r>
    <r>
      <rPr>
        <sz val="12"/>
        <color theme="1"/>
        <rFont val="Calibri"/>
        <family val="2"/>
        <scheme val="minor"/>
      </rPr>
      <t xml:space="preserve"> con un contador y valorada con las tarifas del contrato de suministro vigente
-</t>
    </r>
    <r>
      <rPr>
        <b/>
        <u/>
        <sz val="12"/>
        <color theme="1"/>
        <rFont val="Calibri"/>
        <family val="2"/>
        <scheme val="minor"/>
      </rPr>
      <t>Estimada</t>
    </r>
    <r>
      <rPr>
        <sz val="12"/>
        <color theme="1"/>
        <rFont val="Calibri"/>
        <family val="2"/>
        <scheme val="minor"/>
      </rPr>
      <t xml:space="preserve"> mediante facturas</t>
    </r>
  </si>
  <si>
    <r>
      <t>Incluir los costes</t>
    </r>
    <r>
      <rPr>
        <b/>
        <sz val="12"/>
        <color theme="1"/>
        <rFont val="Calibri"/>
        <family val="2"/>
        <scheme val="minor"/>
      </rPr>
      <t xml:space="preserve"> - IMPORTE SIN IVA (€)</t>
    </r>
    <r>
      <rPr>
        <sz val="12"/>
        <color theme="1"/>
        <rFont val="Calibri"/>
        <family val="2"/>
        <scheme val="minor"/>
      </rPr>
      <t xml:space="preserve">:
</t>
    </r>
    <r>
      <rPr>
        <b/>
        <u/>
        <sz val="12"/>
        <color theme="1"/>
        <rFont val="Calibri"/>
        <family val="2"/>
        <scheme val="minor"/>
      </rPr>
      <t>Contables</t>
    </r>
    <r>
      <rPr>
        <sz val="12"/>
        <color theme="1"/>
        <rFont val="Calibri"/>
        <family val="2"/>
        <scheme val="minor"/>
      </rPr>
      <t>, número de fungibles o grupos de fungibles por coste unidad/grupo (según facturas/mercado)</t>
    </r>
  </si>
  <si>
    <r>
      <t xml:space="preserve">Costes del proveedor y contratos de gestión (seguridad, seguros, control de calidad y certificación...) </t>
    </r>
    <r>
      <rPr>
        <b/>
        <sz val="12"/>
        <color theme="1"/>
        <rFont val="Calibri"/>
        <family val="2"/>
        <scheme val="minor"/>
      </rPr>
      <t>- IMPORTE SIN IVA (€)</t>
    </r>
  </si>
  <si>
    <r>
      <t xml:space="preserve">Inversión de capital (costes de alquiler, amortización de edificios o de instrumentación…) </t>
    </r>
    <r>
      <rPr>
        <b/>
        <sz val="12"/>
        <color theme="1"/>
        <rFont val="Calibri"/>
        <family val="2"/>
        <scheme val="minor"/>
      </rPr>
      <t>- IMPORTE SIN IVA (€)</t>
    </r>
  </si>
  <si>
    <r>
      <t xml:space="preserve">Los que estén específicamente incluidos en el acceso (gastos de envío, licencias de software...) </t>
    </r>
    <r>
      <rPr>
        <b/>
        <sz val="12"/>
        <color theme="1"/>
        <rFont val="Calibri"/>
        <family val="2"/>
        <scheme val="minor"/>
      </rPr>
      <t>- IMPORTE SIN IVA (€)</t>
    </r>
  </si>
  <si>
    <r>
      <t xml:space="preserve">Incluye la limpieza específica, calibraciones y pruebas </t>
    </r>
    <r>
      <rPr>
        <b/>
        <sz val="12"/>
        <color theme="1"/>
        <rFont val="Calibri"/>
        <family val="2"/>
        <scheme val="minor"/>
      </rPr>
      <t>- IMPORTE SIN IVA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</si>
  <si>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Contables</t>
    </r>
    <r>
      <rPr>
        <sz val="12"/>
        <color theme="1"/>
        <rFont val="Calibri"/>
        <family val="2"/>
        <scheme val="minor"/>
      </rPr>
      <t>, número de fungibles o grupos de fungibles por coste unidad/grupo (según facturas/mercado)</t>
    </r>
  </si>
  <si>
    <r>
      <t>Inversión de capital (costes de alquiler, amortización de edificios o de instrumentación…)</t>
    </r>
    <r>
      <rPr>
        <b/>
        <sz val="12"/>
        <color theme="1"/>
        <rFont val="Calibri"/>
        <family val="2"/>
        <scheme val="minor"/>
      </rPr>
      <t xml:space="preserve"> - IMPORTE SIN IVA (€)</t>
    </r>
  </si>
  <si>
    <t>IMPORTE SIN IVA (€)</t>
  </si>
  <si>
    <r>
      <t xml:space="preserve">Coste anual de la certificación/acreditación del recurso </t>
    </r>
    <r>
      <rPr>
        <b/>
        <sz val="12"/>
        <color theme="1"/>
        <rFont val="Calibri"/>
        <family val="2"/>
        <scheme val="minor"/>
      </rPr>
      <t>- IMPORTE SIN IVA (€)</t>
    </r>
  </si>
  <si>
    <r>
      <t>Valor de adquisición</t>
    </r>
    <r>
      <rPr>
        <b/>
        <sz val="12"/>
        <color theme="1"/>
        <rFont val="Calibri"/>
        <family val="2"/>
        <scheme val="minor"/>
      </rPr>
      <t xml:space="preserve"> - IMPORTE SIN IVA (€)</t>
    </r>
  </si>
  <si>
    <r>
      <t xml:space="preserve">Subvención de la UE </t>
    </r>
    <r>
      <rPr>
        <b/>
        <sz val="12"/>
        <color theme="1"/>
        <rFont val="Calibri"/>
        <family val="2"/>
        <scheme val="minor"/>
      </rPr>
      <t>- IMPORTE SIN IVA (€)</t>
    </r>
  </si>
  <si>
    <r>
      <t xml:space="preserve">Incluir los costes </t>
    </r>
    <r>
      <rPr>
        <b/>
        <sz val="12"/>
        <color theme="1"/>
        <rFont val="Calibri"/>
        <family val="2"/>
        <scheme val="minor"/>
      </rPr>
      <t>- IMPORTE SIN IVA (€)</t>
    </r>
    <r>
      <rPr>
        <sz val="12"/>
        <color theme="1"/>
        <rFont val="Calibri"/>
        <family val="2"/>
        <scheme val="minor"/>
      </rPr>
      <t>:
-</t>
    </r>
    <r>
      <rPr>
        <b/>
        <u/>
        <sz val="12"/>
        <color theme="1"/>
        <rFont val="Calibri"/>
        <family val="2"/>
        <scheme val="minor"/>
      </rPr>
      <t>Contables</t>
    </r>
    <r>
      <rPr>
        <sz val="12"/>
        <color theme="1"/>
        <rFont val="Calibri"/>
        <family val="2"/>
        <scheme val="minor"/>
      </rPr>
      <t xml:space="preserve">, número de fungibles o grupos de fungibles por coste unidad/grupo según facturas/mercado
</t>
    </r>
  </si>
  <si>
    <r>
      <t>Indique si la energía es:
-</t>
    </r>
    <r>
      <rPr>
        <b/>
        <u/>
        <sz val="12"/>
        <color theme="1"/>
        <rFont val="Calibri"/>
        <family val="2"/>
        <scheme val="minor"/>
      </rPr>
      <t>Medida</t>
    </r>
    <r>
      <rPr>
        <b/>
        <sz val="12"/>
        <color theme="1"/>
        <rFont val="Calibri"/>
        <family val="2"/>
        <scheme val="minor"/>
      </rPr>
      <t xml:space="preserve"> </t>
    </r>
    <r>
      <rPr>
        <sz val="12"/>
        <color theme="1"/>
        <rFont val="Calibri"/>
        <family val="2"/>
        <scheme val="minor"/>
      </rPr>
      <t>con un contador y valorada con las tarifas del contrato de suministro vigente
-</t>
    </r>
    <r>
      <rPr>
        <b/>
        <u/>
        <sz val="12"/>
        <color theme="1"/>
        <rFont val="Calibri"/>
        <family val="2"/>
        <scheme val="minor"/>
      </rPr>
      <t>Estimada</t>
    </r>
    <r>
      <rPr>
        <sz val="12"/>
        <color theme="1"/>
        <rFont val="Calibri"/>
        <family val="2"/>
        <scheme val="minor"/>
      </rPr>
      <t xml:space="preserve"> mediante facturas</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</si>
  <si>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Contables</t>
    </r>
    <r>
      <rPr>
        <sz val="12"/>
        <color theme="1"/>
        <rFont val="Calibri"/>
        <family val="2"/>
        <scheme val="minor"/>
      </rPr>
      <t>, número de fungibles o grupos de fungibles por coste unidad/grupo según facturas/mercado</t>
    </r>
  </si>
  <si>
    <r>
      <t xml:space="preserve">Valor de adquisición </t>
    </r>
    <r>
      <rPr>
        <b/>
        <sz val="12"/>
        <color theme="1"/>
        <rFont val="Calibri"/>
        <family val="2"/>
        <scheme val="minor"/>
      </rPr>
      <t>- IMPORTE SIN IVA (€)</t>
    </r>
  </si>
  <si>
    <r>
      <t>DIFERENCIA entre el coste de la amortización contable CSIC, C = (V/A)x t/T, donde V es el precio TOTAL de adquisición y A el periodo de amortización CSIC (véase tabla "Periodos amortización CSIC"), con el valor consignado en la casilla del coste elegible (el valor podría resultar negativo, como una corrección a la amortización acelerada que impone H2020).</t>
    </r>
    <r>
      <rPr>
        <b/>
        <sz val="12"/>
        <color rgb="FFFF0000"/>
        <rFont val="Calibri"/>
        <family val="2"/>
        <scheme val="minor"/>
      </rPr>
      <t xml:space="preserve"> - IMPORTE SIN IVA (€)</t>
    </r>
  </si>
  <si>
    <r>
      <t>Coste anual de reparación y mantenimiento (o media del coste de los últimos cinco años)</t>
    </r>
    <r>
      <rPr>
        <b/>
        <sz val="12"/>
        <color theme="1"/>
        <rFont val="Calibri"/>
        <family val="2"/>
        <scheme val="minor"/>
      </rPr>
      <t xml:space="preserve"> - IMPORTE SIN IVA (€)</t>
    </r>
  </si>
  <si>
    <r>
      <t xml:space="preserve">Energía por arranque/enfriamiento </t>
    </r>
    <r>
      <rPr>
        <b/>
        <sz val="12"/>
        <rFont val="Calibri"/>
        <family val="2"/>
        <scheme val="minor"/>
      </rPr>
      <t>- IMPORTE SIN IVA (€)</t>
    </r>
  </si>
  <si>
    <r>
      <t xml:space="preserve">Fungibles/Fluidos por arranque/enfriamiento </t>
    </r>
    <r>
      <rPr>
        <b/>
        <sz val="12"/>
        <rFont val="Calibri"/>
        <family val="2"/>
        <scheme val="minor"/>
      </rPr>
      <t>- IMPORTE SIN IVA (€)</t>
    </r>
  </si>
  <si>
    <t>Información para el cálculo del coste</t>
  </si>
  <si>
    <t>Certificación/acreditación del equipo/técnica/proceso 1</t>
  </si>
  <si>
    <t>Certificación/acreditación del equipo/técnica/proceso 2</t>
  </si>
  <si>
    <t>Duración del uso del equipo, técnica, proceso certificado/acreditado en hora y fracción</t>
  </si>
  <si>
    <t>Periodo de amortización</t>
  </si>
  <si>
    <t>Tipo de equipamiento</t>
  </si>
  <si>
    <t>Tiempo de arranque/enfriamiento en hora/s y fracción</t>
  </si>
  <si>
    <t>Tiempo de la calibración en hora/s y fracción</t>
  </si>
  <si>
    <r>
      <t xml:space="preserve">Energía por calibración </t>
    </r>
    <r>
      <rPr>
        <b/>
        <sz val="12"/>
        <rFont val="Calibri"/>
        <family val="2"/>
        <scheme val="minor"/>
      </rPr>
      <t>- IMPORTE SIN IVA (€)</t>
    </r>
  </si>
  <si>
    <r>
      <t>Fungibles/Fluidos por calibración</t>
    </r>
    <r>
      <rPr>
        <b/>
        <sz val="12"/>
        <rFont val="Calibri"/>
        <family val="2"/>
        <scheme val="minor"/>
      </rPr>
      <t xml:space="preserve"> - IMPORTE SIN IVA (€)</t>
    </r>
  </si>
  <si>
    <t>3. PERSONAL CSIC ASOCIADO A CONCEPTOS NO ELEGIBLES</t>
  </si>
  <si>
    <t>Nº 1</t>
  </si>
  <si>
    <t>Nº 2</t>
  </si>
  <si>
    <t>Nº 3</t>
  </si>
  <si>
    <t>Nº 4</t>
  </si>
  <si>
    <t>Nº 5</t>
  </si>
  <si>
    <t>Nº 6</t>
  </si>
  <si>
    <t>Nº 7</t>
  </si>
  <si>
    <t>Nº 8</t>
  </si>
  <si>
    <t>Nº 9</t>
  </si>
  <si>
    <t>Nº 10</t>
  </si>
  <si>
    <t>Nombre y breve descripción del software</t>
  </si>
  <si>
    <t>Nombre y breve descripción de la certificación/acreditación</t>
  </si>
  <si>
    <t>Indique si el equipo está amortizado</t>
  </si>
  <si>
    <t>COSTES DE AMORTIZACIÓN NO ELEGIBLES PARA PROYECTOS DEL PROGRAMA MARCO - IMPORTE SIN IVA (€)</t>
  </si>
  <si>
    <t>Tiempos de uso del equipo 1</t>
  </si>
  <si>
    <t>Unidad de Medida de Coste -UMC- (€/unidad)*</t>
  </si>
  <si>
    <t>&lt;--- Especificar Unidad de Medida de Coste del desplegable</t>
  </si>
  <si>
    <t>Breve descripción de la Unidad de Medida de Coste</t>
  </si>
  <si>
    <t>PERSONAL (por UMC)</t>
  </si>
  <si>
    <t>COSTE TOTAL (UMC)
PERSONAL DE PLANTILLA (€)</t>
  </si>
  <si>
    <t>COSTE TOTAL (UMC)
PERSONAL CONTRATADO (€)</t>
  </si>
  <si>
    <t>COSTE TOTAL (UMC)
PERSONAL CSIC ASOCIADO A CONCEPTOS NO ELEGIBLES (€)</t>
  </si>
  <si>
    <r>
      <t xml:space="preserve">En caso de centros mixtos, estimación del </t>
    </r>
    <r>
      <rPr>
        <b/>
        <sz val="14"/>
        <color theme="1"/>
        <rFont val="Calibri"/>
        <family val="2"/>
        <scheme val="minor"/>
      </rPr>
      <t>coste TOTAL del personal NO CSIC</t>
    </r>
    <r>
      <rPr>
        <sz val="14"/>
        <color theme="1"/>
        <rFont val="Calibri"/>
        <family val="2"/>
        <scheme val="minor"/>
      </rPr>
      <t xml:space="preserve"> interviniente </t>
    </r>
    <r>
      <rPr>
        <b/>
        <sz val="14"/>
        <rFont val="Calibri"/>
        <family val="2"/>
        <scheme val="minor"/>
      </rPr>
      <t>por UMC</t>
    </r>
    <r>
      <rPr>
        <sz val="14"/>
        <color rgb="FFFF0000"/>
        <rFont val="Calibri"/>
        <family val="2"/>
        <scheme val="minor"/>
      </rPr>
      <t xml:space="preserve"> </t>
    </r>
    <r>
      <rPr>
        <sz val="14"/>
        <color theme="1"/>
        <rFont val="Calibri"/>
        <family val="2"/>
        <scheme val="minor"/>
      </rPr>
      <t xml:space="preserve">según datos que aporten las entidades integradas en el centro </t>
    </r>
  </si>
  <si>
    <t>COSTE TOTAL (UMC)
 PERSONAL</t>
  </si>
  <si>
    <t>EQUIPAMIENTO (por UMC)</t>
  </si>
  <si>
    <t xml:space="preserve">COSTE TOTAL (UMC)
EQUIPAMIENTO </t>
  </si>
  <si>
    <t>INFRAESTRUCTURAS (por UMC)</t>
  </si>
  <si>
    <t>COSTE TOTAL UTILIZACIÓN DE LA INSTALACIÓN/INFRAESTRUCTURA 1 POR UMC</t>
  </si>
  <si>
    <t>COSTE TOTAL UTILIZACIÓN DE LA INSTALACIÓN/INFRAESTRUCTURA 2 POR UMC</t>
  </si>
  <si>
    <t>COSTE TOTAL UTILIZACIÓN DE LA INSTALACIÓN/INFRAESTRUCTURA 3 POR UMC</t>
  </si>
  <si>
    <t>COSTE TOTAL UTILIZACIÓN DE LA INSTALACIÓN/INFRAESTRUCTURA 4 POR UMC</t>
  </si>
  <si>
    <t>COSTE TOTAL (UMC)
INSTALACIONES/INFRAESTRUCTURAS</t>
  </si>
  <si>
    <t>Suma del coste total de instalaciones/infraestructuras implicado en el desarrollo por UMC</t>
  </si>
  <si>
    <t>OTROS (por UMC)</t>
  </si>
  <si>
    <t xml:space="preserve">COSTE TOTAL (UMC)
OTROS FUNGIBLES/FLUIDOS
</t>
  </si>
  <si>
    <t>COSTE TOTAL (UMC)
SOFTWARE</t>
  </si>
  <si>
    <t>COSTE TOTAL (UMC)
SUBCONTRATACIONES</t>
  </si>
  <si>
    <t>COSTE TOTAL (UMC)
CERTIFICACIONES</t>
  </si>
  <si>
    <t>COSTE TOTAL (UMC)
OTROS</t>
  </si>
  <si>
    <t>EQUIPO 1 (por UMC)</t>
  </si>
  <si>
    <t>Tiempo utilizado durante una UMC en hora/s y fracción</t>
  </si>
  <si>
    <r>
      <t xml:space="preserve">Coste de energía por UMC </t>
    </r>
    <r>
      <rPr>
        <b/>
        <sz val="12"/>
        <color theme="1"/>
        <rFont val="Calibri"/>
        <family val="2"/>
        <scheme val="minor"/>
      </rPr>
      <t>- IMPORTE SIN IVA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</si>
  <si>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medida</t>
    </r>
    <r>
      <rPr>
        <sz val="12"/>
        <color theme="1"/>
        <rFont val="Calibri"/>
        <family val="2"/>
        <scheme val="minor"/>
      </rPr>
      <t xml:space="preserve"> de consumo (directa o indirecta/calculada) por coste UMC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</si>
  <si>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sin medidas reales por coste UMC según factura o precio de mercado</t>
    </r>
  </si>
  <si>
    <r>
      <t>Incluir los costes</t>
    </r>
    <r>
      <rPr>
        <b/>
        <sz val="12"/>
        <color theme="1"/>
        <rFont val="Calibri"/>
        <family val="2"/>
        <scheme val="minor"/>
      </rPr>
      <t xml:space="preserve"> -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sin medidas reales por coste UMC según factura o precio de mercado</t>
    </r>
  </si>
  <si>
    <r>
      <t>Incluir los costes</t>
    </r>
    <r>
      <rPr>
        <b/>
        <sz val="12"/>
        <color theme="1"/>
        <rFont val="Calibri"/>
        <family val="2"/>
        <scheme val="minor"/>
      </rPr>
      <t xml:space="preserve"> -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sin medidas reales por coste UMC según factura o precio de mercado</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</si>
  <si>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medida</t>
    </r>
    <r>
      <rPr>
        <sz val="12"/>
        <color theme="1"/>
        <rFont val="Calibri"/>
        <family val="2"/>
        <scheme val="minor"/>
      </rPr>
      <t xml:space="preserve"> de consumo (directa o indirecta/calculada) por coste UMC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</si>
  <si>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sin medidas reales por coste UMC según factura o precio de mercado</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</si>
  <si>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medida</t>
    </r>
    <r>
      <rPr>
        <sz val="12"/>
        <color theme="1"/>
        <rFont val="Calibri"/>
        <family val="2"/>
        <scheme val="minor"/>
      </rPr>
      <t xml:space="preserve"> de consumo  por coste UMC según facturas/mercado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</si>
  <si>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por coste UMC según factura o precio de mercado</t>
    </r>
  </si>
  <si>
    <r>
      <t>Incluir los costes</t>
    </r>
    <r>
      <rPr>
        <b/>
        <sz val="12"/>
        <color theme="1"/>
        <rFont val="Calibri"/>
        <family val="2"/>
        <scheme val="minor"/>
      </rPr>
      <t xml:space="preserve"> -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medida</t>
    </r>
    <r>
      <rPr>
        <sz val="12"/>
        <color theme="1"/>
        <rFont val="Calibri"/>
        <family val="2"/>
        <scheme val="minor"/>
      </rPr>
      <t xml:space="preserve"> de consumo  por coste UMC según facturas/mercado
</t>
    </r>
  </si>
  <si>
    <r>
      <t xml:space="preserve">Incluir los costes </t>
    </r>
    <r>
      <rPr>
        <b/>
        <sz val="12"/>
        <color theme="1"/>
        <rFont val="Calibri"/>
        <family val="2"/>
        <scheme val="minor"/>
      </rPr>
      <t>-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medida</t>
    </r>
    <r>
      <rPr>
        <sz val="12"/>
        <color theme="1"/>
        <rFont val="Calibri"/>
        <family val="2"/>
        <scheme val="minor"/>
      </rPr>
      <t xml:space="preserve"> de consumo por coste UMC según facturas/mercado</t>
    </r>
  </si>
  <si>
    <r>
      <t>Incluir los costes</t>
    </r>
    <r>
      <rPr>
        <b/>
        <sz val="12"/>
        <color theme="1"/>
        <rFont val="Calibri"/>
        <family val="2"/>
        <scheme val="minor"/>
      </rPr>
      <t xml:space="preserve"> - IMPORTE SIN IVA (€)</t>
    </r>
    <r>
      <rPr>
        <sz val="12"/>
        <color theme="1"/>
        <rFont val="Calibri"/>
        <family val="2"/>
        <scheme val="minor"/>
      </rPr>
      <t xml:space="preserve">:
</t>
    </r>
    <r>
      <rPr>
        <b/>
        <u/>
        <sz val="12"/>
        <color theme="1"/>
        <rFont val="Calibri"/>
        <family val="2"/>
        <scheme val="minor"/>
      </rPr>
      <t>No contables</t>
    </r>
    <r>
      <rPr>
        <sz val="12"/>
        <color theme="1"/>
        <rFont val="Calibri"/>
        <family val="2"/>
        <scheme val="minor"/>
      </rPr>
      <t xml:space="preserve"> (continuos), </t>
    </r>
    <r>
      <rPr>
        <b/>
        <u/>
        <sz val="12"/>
        <color theme="1"/>
        <rFont val="Calibri"/>
        <family val="2"/>
        <scheme val="minor"/>
      </rPr>
      <t>estimación</t>
    </r>
    <r>
      <rPr>
        <sz val="12"/>
        <color theme="1"/>
        <rFont val="Calibri"/>
        <family val="2"/>
        <scheme val="minor"/>
      </rPr>
      <t xml:space="preserve"> de consumo por coste UMC según factura o precio de mercado</t>
    </r>
  </si>
  <si>
    <t>Nº medio de UMC por arranque/enfriamiento</t>
  </si>
  <si>
    <t>COSTE TOTAL (UMC)
MANTENIMIENTO EQUIPO 1
IMPORTE SIN IVA (€)</t>
  </si>
  <si>
    <t>COSTE TOTAL (UMC)
UTILIZACIÓN DEL EQUIPO 1</t>
  </si>
  <si>
    <t>COSTE TOTAL (UMC)
ARRANQUE/ENFRIAMIENTO EQUIPO 1
IMPORTE SIN IVA (€)</t>
  </si>
  <si>
    <t>Nº medio de UMC por calibración</t>
  </si>
  <si>
    <r>
      <t xml:space="preserve">Amortización de la calibración por UMC </t>
    </r>
    <r>
      <rPr>
        <b/>
        <sz val="12"/>
        <color theme="1"/>
        <rFont val="Calibri"/>
        <family val="2"/>
        <scheme val="minor"/>
      </rPr>
      <t>- IMPORTE SIN IVA (€)</t>
    </r>
  </si>
  <si>
    <t>COSTE TOTAL (UMC)
CALIBRACIÓN INTERMEDIA DEL EQUIPO 1 (durante el transcurso de un grupo de prestaciones)
IMPORTE SIN IVA (€)</t>
  </si>
  <si>
    <t>COSTE TOTAL (UMC)
EQUIPO 1</t>
  </si>
  <si>
    <t>Suma del coste total del equipo 1 implicado en el desarrollo por UMC</t>
  </si>
  <si>
    <t>Nº horas y fracción/UMC</t>
  </si>
  <si>
    <t>COSTES DE AMORTIZACIÓN ELEGIBLES PARA PROYECTOS DEL PROGRAMA MARCO POR UMC - IMPORTE SIN IVA (€)</t>
  </si>
  <si>
    <r>
      <t xml:space="preserve">Amortización asociada al tiempo de arranque/enfriamiento por UMC - </t>
    </r>
    <r>
      <rPr>
        <b/>
        <sz val="12"/>
        <color theme="1"/>
        <rFont val="Calibri"/>
        <family val="2"/>
        <scheme val="minor"/>
      </rPr>
      <t>IMPORTE SIN IVA (€)</t>
    </r>
  </si>
  <si>
    <t xml:space="preserve">Subcontratación externa 1 (indicar el importe correspondiente a la UMC) 
</t>
  </si>
  <si>
    <t xml:space="preserve">Subcontratación externa 2 (indicar el importe correspondiente a la UMC)
</t>
  </si>
  <si>
    <t>DATOS DE LA UTILIZACIÓN</t>
  </si>
  <si>
    <t>Rellenar en caso de software en periodo de amortización</t>
  </si>
  <si>
    <t>Tiempos de uso del equipo 2</t>
  </si>
  <si>
    <t>Mantenimiento del equipo 2 (incluyendo calibraciones preprogramadas)</t>
  </si>
  <si>
    <t>COSTE TOTAL (UMC)
MANTENIMIENTO equipo 2
IMPORTE SIN IVA (€)</t>
  </si>
  <si>
    <t>Suma del coste total del equipo 2 implicado en el desarrollo por UMC</t>
  </si>
  <si>
    <t>COSTE TOTAL (UMC)
UTILIZACIÓN DEL EQUIPO 2</t>
  </si>
  <si>
    <t>COSTE TOTAL (UMC)
ARRANQUE/ENFRIAMIENTO EQUIPO 2
IMPORTE SIN IVA (€)</t>
  </si>
  <si>
    <t>COSTE TOTAL (UMC)
CALIBRACIÓN INTERMEDIA DEL EQUIPO 2 (durante el transcurso de un grupo de prestaciones)
IMPORTE SIN IVA (€)</t>
  </si>
  <si>
    <t>COSTE TOTAL (UMC)
EQUIPO 2</t>
  </si>
  <si>
    <t>EQUIPO 2 (por UMC)</t>
  </si>
  <si>
    <t>EQUIPO 3 (por UMC)</t>
  </si>
  <si>
    <t>COSTE TOTAL (UMC)
UTILIZACIÓN DEL EQUIPO 3</t>
  </si>
  <si>
    <t>COSTE TOTAL (UMC)
MANTENIMIENTO EQUIPO 3
IMPORTE SIN IVA (€)</t>
  </si>
  <si>
    <t>COSTE TOTAL (UMC)
ARRANQUE/ENFRIAMIENTO EQUIPO 3
IMPORTE SIN IVA (€)</t>
  </si>
  <si>
    <t>COSTE TOTAL (UMC)
CALIBRACIÓN INTERMEDIA DEL EQUIPO 3 (durante el transcurso de un grupo de prestaciones)
IMPORTE SIN IVA (€)</t>
  </si>
  <si>
    <t>COSTE TOTAL (UMC)
EQUIPO 3</t>
  </si>
  <si>
    <t>Tiempos de uso del equipo 3</t>
  </si>
  <si>
    <t>Mantenimiento del equipo 3 (incluyendo calibraciones preprogramadas)</t>
  </si>
  <si>
    <t>Suma del coste total del equipo 3 implicado en el desarrollo por UMC</t>
  </si>
  <si>
    <t>EQUIPO 4 (por UMC)</t>
  </si>
  <si>
    <t>COSTE TOTAL (UMC)
UTILIZACIÓN DEL EQUIPO 4</t>
  </si>
  <si>
    <t>COSTE TOTAL (UMC)
MANTENIMIENTO EQUIPO 4
IMPORTE SIN IVA (€)</t>
  </si>
  <si>
    <t>COSTE TOTAL (UMC)
ARRANQUE/ENFRIAMIENTO EQUIPO 4
IMPORTE SIN IVA (€)</t>
  </si>
  <si>
    <t>COSTE TOTAL (UMC)
CALIBRACIÓN INTERMEDIA DEL EQUIPO 4 (durante el transcurso de un grupo de prestaciones)
IMPORTE SIN IVA (€)</t>
  </si>
  <si>
    <t>COSTE TOTAL (UMC)
EQUIPO 4</t>
  </si>
  <si>
    <t>Tiempos de uso del equipo 4</t>
  </si>
  <si>
    <t>Mantenimiento del equipo 4 (incluyendo calibraciones preprogramadas)</t>
  </si>
  <si>
    <t>Suma del coste total del equipo 4 implicado en el desarrollo por UMC</t>
  </si>
  <si>
    <t>EQUIPO 5 (por UMC)</t>
  </si>
  <si>
    <t>COSTE TOTAL (UMC)
UTILIZACIÓN DEL EQUIPO 5</t>
  </si>
  <si>
    <t>COSTE TOTAL (UMC)
MANTENIMIENTO EQUIPO 5
IMPORTE SIN IVA (€)</t>
  </si>
  <si>
    <t>COSTE TOTAL (UMC)
ARRANQUE/ENFRIAMIENTO EQUIPO 5
IMPORTE SIN IVA (€)</t>
  </si>
  <si>
    <t>COSTE TOTAL (UMC)
CALIBRACIÓN INTERMEDIA DEL EQUIPO 5 (durante el transcurso de un grupo de prestaciones)
IMPORTE SIN IVA (€)</t>
  </si>
  <si>
    <t>COSTE TOTAL (UMC)
EQUIPO 5</t>
  </si>
  <si>
    <t>Tiempos de uso del equipo 5</t>
  </si>
  <si>
    <t>Mantenimiento del equipo 5 (incluyendo calibraciones preprogramadas)</t>
  </si>
  <si>
    <t>Suma del coste total del equipo 5 implicado en el desarrollo por UMC</t>
  </si>
  <si>
    <t>EQUIPO 6 (por UMC)</t>
  </si>
  <si>
    <t>COSTE TOTAL (UMC)
UTILIZACIÓN DEL EQUIPO 6</t>
  </si>
  <si>
    <t>COSTE TOTAL (UMC)
MANTENIMIENTO EQUIPO 6
IMPORTE SIN IVA (€)</t>
  </si>
  <si>
    <t>COSTE TOTAL (UMC)
ARRANQUE/ENFRIAMIENTO EQUIPO 6
IMPORTE SIN IVA (€)</t>
  </si>
  <si>
    <t>COSTE TOTAL (UMC)
CALIBRACIÓN INTERMEDIA DEL EQUIPO 6 (durante el transcurso de un grupo de prestaciones)
IMPORTE SIN IVA (€)</t>
  </si>
  <si>
    <t>COSTE TOTAL (UMC)
EQUIPO 6</t>
  </si>
  <si>
    <t>Tiempos de uso del equipo 6</t>
  </si>
  <si>
    <t>Suma del coste total del equipo 6 implicado en el desarrollo por UMC</t>
  </si>
  <si>
    <t>Mantenimiento del equipo 6 (incluyendo calibraciones preprogramadas)</t>
  </si>
  <si>
    <t>EQUIPO 7 (por UMC)</t>
  </si>
  <si>
    <t>COSTE TOTAL (UMC)
UTILIZACIÓN DEL EQUIPO 7</t>
  </si>
  <si>
    <t>COSTE TOTAL (UMC)
MANTENIMIENTO EQUIPO 7
IMPORTE SIN IVA (€)</t>
  </si>
  <si>
    <t>COSTE TOTAL (UMC)
ARRANQUE/ENFRIAMIENTO EQUIPO 7
IMPORTE SIN IVA (€)</t>
  </si>
  <si>
    <t>COSTE TOTAL (UMC)
CALIBRACIÓN INTERMEDIA DEL EQUIPO 7 (durante el transcurso de un grupo de prestaciones)
IMPORTE SIN IVA (€)</t>
  </si>
  <si>
    <t>COSTE TOTAL (UMC)
EQUIPO 7</t>
  </si>
  <si>
    <t>Tiempos de uso del equipo 7</t>
  </si>
  <si>
    <t>Mantenimiento del equipo 7 (incluyendo calibraciones preprogramadas)</t>
  </si>
  <si>
    <t>Suma del coste total del equipo 7 implicado en el desarrollo por UMC</t>
  </si>
  <si>
    <t>EQUIPO 8 (por UMC)</t>
  </si>
  <si>
    <t>COSTE TOTAL (UMC)
UTILIZACIÓN DEL EQUIPO 8</t>
  </si>
  <si>
    <t>COSTE TOTAL (UMC)
MANTENIMIENTO EQUIPO 8
IMPORTE SIN IVA (€)</t>
  </si>
  <si>
    <t>COSTE TOTAL (UMC)
ARRANQUE/ENFRIAMIENTO EQUIPO 8
IMPORTE SIN IVA (€)</t>
  </si>
  <si>
    <t>COSTE TOTAL (UMC)
CALIBRACIÓN INTERMEDIA DEL EQUIPO 8 (durante el transcurso de un grupo de prestaciones)
IMPORTE SIN IVA (€)</t>
  </si>
  <si>
    <t>COSTE TOTAL (UMC)
EQUIPO 8</t>
  </si>
  <si>
    <t>Tiempos de uso del equipo 8</t>
  </si>
  <si>
    <t>Mantenimiento del equipo 8 (incluyendo calibraciones preprogramadas)</t>
  </si>
  <si>
    <t>Suma del coste total del equipo 8 implicado en el desarrollo por UMC</t>
  </si>
  <si>
    <t>EQUIPO 9 (por UMC)</t>
  </si>
  <si>
    <t>COSTE TOTAL (UMC)
UTILIZACIÓN DEL EQUIPO 9</t>
  </si>
  <si>
    <t>COSTE TOTAL (UMC)
MANTENIMIENTO EQUIPO 9
IMPORTE SIN IVA (€)</t>
  </si>
  <si>
    <t>COSTE TOTAL (UMC)
ARRANQUE/ENFRIAMIENTO EQUIPO 9
IMPORTE SIN IVA (€)</t>
  </si>
  <si>
    <t>COSTE TOTAL (UMC)
CALIBRACIÓN INTERMEDIA DEL EQUIPO 9 (durante el transcurso de un grupo de prestaciones)
IMPORTE SIN IVA (€)</t>
  </si>
  <si>
    <t>COSTE TOTAL (UMC)
EQUIPO 9</t>
  </si>
  <si>
    <t>Tiempos de uso del equipo 9</t>
  </si>
  <si>
    <t>Mantenimiento del equipo 9 (incluyendo calibraciones preprogramadas)</t>
  </si>
  <si>
    <t>Suma del coste total del equipo 9 implicado en el desarrollo por UMC</t>
  </si>
  <si>
    <t>EQUIPO 10 (por UMC)</t>
  </si>
  <si>
    <t>COSTE TOTAL (UMC)
UTILIZACIÓN DEL EQUIPO 10</t>
  </si>
  <si>
    <t>COSTE TOTAL (UMC)
MANTENIMIENTO EQUIPO 10
IMPORTE SIN IVA (€)</t>
  </si>
  <si>
    <t>COSTE TOTAL (UMC)
ARRANQUE/ENFRIAMIENTO EQUIPO 10
IMPORTE SIN IVA (€)</t>
  </si>
  <si>
    <t>COSTE TOTAL (UMC)
CALIBRACIÓN INTERMEDIA DEL EQUIPO 10 (durante el transcurso de un grupo de prestaciones)
IMPORTE SIN IVA (€)</t>
  </si>
  <si>
    <t>COSTE TOTAL (UMC)
EQUIPO 10</t>
  </si>
  <si>
    <t>Tiempos de uso del equipo 10</t>
  </si>
  <si>
    <t>Mantenimiento del equipo 10 (incluyendo calibraciones preprogramadas)</t>
  </si>
  <si>
    <t>Suma del coste total del equipo 10 implicado en el desarrollo por UMC</t>
  </si>
  <si>
    <t>COSTES MARGINALES (€)</t>
  </si>
  <si>
    <t>COSTES AMORTIZACIÓN (€)</t>
  </si>
  <si>
    <t>COSTES ELEGIBLES
 PROYECTOS PROGRAMA MARCO (€)</t>
  </si>
  <si>
    <t>TARIFAS INTERNAS</t>
  </si>
  <si>
    <t>FACTURAS</t>
  </si>
  <si>
    <t>DESGLOSE DE COSTES  DE LA VARIANTE</t>
  </si>
  <si>
    <t xml:space="preserve"> Para solicitudes del propio centro (€)</t>
  </si>
  <si>
    <t>Para solicitudes del resto de centros del CSIC (€)</t>
  </si>
  <si>
    <t>UMC (€)</t>
  </si>
  <si>
    <t>Número de unidades incluidas en la variante</t>
  </si>
  <si>
    <t>EQUIPAMIENTO</t>
  </si>
  <si>
    <t>OTROS</t>
  </si>
  <si>
    <r>
      <t xml:space="preserve">Subvención de la UE </t>
    </r>
    <r>
      <rPr>
        <b/>
        <sz val="12"/>
        <rFont val="Calibri"/>
        <family val="2"/>
        <scheme val="minor"/>
      </rPr>
      <t>- IMPORTE SIN IVA (€)</t>
    </r>
  </si>
  <si>
    <r>
      <rPr>
        <b/>
        <sz val="12"/>
        <color theme="1"/>
        <rFont val="Calibri"/>
        <family val="2"/>
        <scheme val="minor"/>
      </rPr>
      <t>Costes imputables</t>
    </r>
    <r>
      <rPr>
        <sz val="12"/>
        <color theme="1"/>
        <rFont val="Calibri"/>
        <family val="2"/>
        <scheme val="minor"/>
      </rPr>
      <t xml:space="preserve"> </t>
    </r>
    <r>
      <rPr>
        <b/>
        <sz val="12"/>
        <color theme="1"/>
        <rFont val="Calibri"/>
        <family val="2"/>
        <scheme val="minor"/>
      </rPr>
      <t>- IMPORTE SIN IVA (€)</t>
    </r>
  </si>
  <si>
    <t>Costes imputables - IMPORTE SIN IVA (€)</t>
  </si>
  <si>
    <t>Porcentaje del coste de amortizaciones sobre el coste total</t>
  </si>
  <si>
    <t>Breve descripción -&gt;</t>
  </si>
  <si>
    <t>IR AL APARTADO DE 
INSTALACIÓN/INFRAESTRUCTURA</t>
  </si>
  <si>
    <t>DATOS GENERALES PRESTACIÓN DE VARIANTE SERVICIO CIENTÍFICO-TÉCNICO</t>
  </si>
  <si>
    <t>RESUMEN COSTES UNITARIOS SERVICIOS CIENTÍFICO-TÉCNICOS</t>
  </si>
  <si>
    <r>
      <t xml:space="preserve">COSTE TOTAL CERTIFICACIÓN 1 </t>
    </r>
    <r>
      <rPr>
        <b/>
        <sz val="12"/>
        <color theme="1"/>
        <rFont val="Calibri"/>
        <family val="2"/>
        <scheme val="minor"/>
      </rPr>
      <t>- IMPORTE SIN IVA (€)</t>
    </r>
  </si>
  <si>
    <r>
      <t xml:space="preserve">COSTE TOTAL CERTIFICACIÓN 2 </t>
    </r>
    <r>
      <rPr>
        <b/>
        <sz val="12"/>
        <color theme="1"/>
        <rFont val="Calibri"/>
        <family val="2"/>
        <scheme val="minor"/>
      </rPr>
      <t>- IMPORTE SIN IVA (€)</t>
    </r>
  </si>
  <si>
    <t>Profesor de investigación</t>
  </si>
  <si>
    <t>Investigador científico</t>
  </si>
  <si>
    <t>Científico titular</t>
  </si>
  <si>
    <t>Ayudante de investigación</t>
  </si>
  <si>
    <t>Auxiliar de investigación</t>
  </si>
  <si>
    <t>Investigador Distinguido</t>
  </si>
  <si>
    <t>G1 / 1G / M3</t>
  </si>
  <si>
    <t>G2 / 2G / M2</t>
  </si>
  <si>
    <t>G3 / 3G / M1</t>
  </si>
  <si>
    <t>G4 / 4G / E2</t>
  </si>
  <si>
    <t>G5 / E1</t>
  </si>
  <si>
    <t>Titulado Superior FC 2</t>
  </si>
  <si>
    <t>Técnico Superior Especializado OPI</t>
  </si>
  <si>
    <t>Doctor FC4</t>
  </si>
  <si>
    <t>E0</t>
  </si>
  <si>
    <t>* Los bienes adquiridos con anterioridad a 2021 se consideran amortizados</t>
  </si>
  <si>
    <t>CSIC - ORGANIZACION CENTRAL (CSIC ORGC-902001)</t>
  </si>
  <si>
    <t>*Las UMC predeterminadas en el desplegable deberían cubrir el 100% de las necesidades existentes, y se han reducido para simplificar la hoja de cálculo.
En casos excepcionales se podrá solicitar la creación de nuevas unidades de medida de coste, que deberán ser aprobadas antes de su uso a través de ayuda.servicios@csic.es</t>
  </si>
  <si>
    <t>área</t>
  </si>
  <si>
    <t>área/ unidad de tiempo</t>
  </si>
  <si>
    <t>ensayo o proceso</t>
  </si>
  <si>
    <t>muestra o grupo de muestras</t>
  </si>
  <si>
    <t>muestra o grupo de muestras/ unidad de tiempo</t>
  </si>
  <si>
    <t>ensayo o proceso/ unidad de tiempo</t>
  </si>
  <si>
    <t>INSTITUTO DE AGROBIOTECNOLOGIA (IDAB-080169)</t>
  </si>
  <si>
    <t>CENTRO DE CIENCIA Y TECNOLOGIAS CUANTICAS (QUARC-220101)</t>
  </si>
  <si>
    <t>CENTRO DE INVESTIGACION DEL CANCER (CIC-050108)</t>
  </si>
  <si>
    <t>ESCUELA DE ESTUDIOS ARABES (EEA-130402)</t>
  </si>
  <si>
    <t>ESTACION EXPERIMENTAL AULA DEI (EEAD-090101)</t>
  </si>
  <si>
    <t>INSTITUTO ANDALUZ DE CIENCIAS DE LA TIERRA IACT-CSIC (IACT-CSIC-030261)</t>
  </si>
  <si>
    <t>INSTITUTO DE AGROQUIMICA Y TECNOLOGIA DE ALIMENTOS (IATA-110104)</t>
  </si>
  <si>
    <t>INSTITUTO DE ANALISIS ECONOMICO (IAE-160104)</t>
  </si>
  <si>
    <t>INSTITUTO DE BIOLOGIA FUNCIONAL Y GENOMICA (IBFG-050502)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</si>
</sst>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44" formatCode="_-* #,##0.00\ &quot;€&quot;_-;\-* #,##0.00\ &quot;€&quot;_-;_-* &quot;-&quot;??\ &quot;€&quot;_-;_-@_-"/>
    <numFmt numFmtId="43" formatCode="_-* #,##0.00\ _€_-;\-* #,##0.00\ _€_-;_-* &quot;-&quot;??\ _€_-;_-@_-"/>
  </numFmts>
  <fonts count="67" x14ac:knownFonts="1">
    <font>
      <sz val="11"/>
      <color theme="1"/>
      <name val="Calibri"/>
      <family val="2"/>
      <scheme val="minor"/>
    </font>
    <font>
      <b/>
      <sz val="20"/>
      <color theme="1"/>
      <name val="Calibri"/>
      <family val="2"/>
      <scheme val="minor"/>
    </font>
    <font>
      <b/>
      <sz val="12"/>
      <color theme="1"/>
      <name val="Calibri"/>
      <family val="2"/>
      <scheme val="minor"/>
    </font>
    <font>
      <b/>
      <sz val="11"/>
      <color theme="1"/>
      <name val="Calibri"/>
      <family val="2"/>
      <scheme val="minor"/>
    </font>
    <font>
      <b/>
      <sz val="14"/>
      <color theme="1"/>
      <name val="Calibri"/>
      <family val="2"/>
      <scheme val="minor"/>
    </font>
    <font>
      <b/>
      <i/>
      <sz val="11"/>
      <color theme="0"/>
      <name val="Calibri"/>
      <family val="2"/>
      <scheme val="minor"/>
    </font>
    <font>
      <i/>
      <sz val="11"/>
      <color theme="1"/>
      <name val="Calibri"/>
      <family val="2"/>
      <scheme val="minor"/>
    </font>
    <font>
      <b/>
      <sz val="18"/>
      <color theme="1"/>
      <name val="Calibri"/>
      <family val="2"/>
      <scheme val="minor"/>
    </font>
    <font>
      <b/>
      <i/>
      <sz val="11"/>
      <color theme="1"/>
      <name val="Calibri"/>
      <family val="2"/>
      <scheme val="minor"/>
    </font>
    <font>
      <b/>
      <i/>
      <u/>
      <sz val="12"/>
      <color theme="1"/>
      <name val="Calibri"/>
      <family val="2"/>
      <scheme val="minor"/>
    </font>
    <font>
      <b/>
      <i/>
      <sz val="28"/>
      <color theme="0"/>
      <name val="Calibri"/>
      <family val="2"/>
      <scheme val="minor"/>
    </font>
    <font>
      <sz val="11"/>
      <color rgb="FFFF0000"/>
      <name val="Calibri"/>
      <family val="2"/>
      <scheme val="minor"/>
    </font>
    <font>
      <b/>
      <i/>
      <sz val="14"/>
      <color theme="0"/>
      <name val="Calibri"/>
      <family val="2"/>
      <scheme val="minor"/>
    </font>
    <font>
      <b/>
      <i/>
      <sz val="12"/>
      <color theme="1"/>
      <name val="Calibri"/>
      <family val="2"/>
      <scheme val="minor"/>
    </font>
    <font>
      <b/>
      <i/>
      <sz val="18"/>
      <color theme="1"/>
      <name val="Calibri"/>
      <family val="2"/>
      <scheme val="minor"/>
    </font>
    <font>
      <b/>
      <i/>
      <sz val="12"/>
      <name val="Calibri"/>
      <family val="2"/>
      <scheme val="minor"/>
    </font>
    <font>
      <sz val="11"/>
      <name val="Calibri"/>
      <family val="2"/>
      <scheme val="minor"/>
    </font>
    <font>
      <b/>
      <i/>
      <sz val="11"/>
      <name val="Calibri"/>
      <family val="2"/>
      <scheme val="minor"/>
    </font>
    <font>
      <b/>
      <i/>
      <sz val="24"/>
      <color theme="0"/>
      <name val="Calibri"/>
      <family val="2"/>
      <scheme val="minor"/>
    </font>
    <font>
      <b/>
      <sz val="16"/>
      <color theme="1"/>
      <name val="Calibri"/>
      <family val="2"/>
      <scheme val="minor"/>
    </font>
    <font>
      <b/>
      <sz val="16"/>
      <color rgb="FFFF0000"/>
      <name val="Calibri"/>
      <family val="2"/>
      <scheme val="minor"/>
    </font>
    <font>
      <b/>
      <sz val="11"/>
      <color rgb="FFFF0000"/>
      <name val="Calibri"/>
      <family val="2"/>
      <scheme val="minor"/>
    </font>
    <font>
      <b/>
      <i/>
      <sz val="20"/>
      <color theme="0"/>
      <name val="Calibri"/>
      <family val="2"/>
      <scheme val="minor"/>
    </font>
    <font>
      <b/>
      <sz val="20"/>
      <color theme="0"/>
      <name val="Calibri"/>
      <family val="2"/>
      <scheme val="minor"/>
    </font>
    <font>
      <b/>
      <i/>
      <sz val="16"/>
      <color theme="1"/>
      <name val="Calibri"/>
      <family val="2"/>
      <scheme val="minor"/>
    </font>
    <font>
      <u/>
      <sz val="11"/>
      <color theme="10"/>
      <name val="Calibri"/>
      <family val="2"/>
      <scheme val="minor"/>
    </font>
    <font>
      <b/>
      <u/>
      <sz val="14"/>
      <color theme="0"/>
      <name val="Calibri"/>
      <family val="2"/>
      <scheme val="minor"/>
    </font>
    <font>
      <sz val="14"/>
      <color theme="1"/>
      <name val="Calibri"/>
      <family val="2"/>
      <scheme val="minor"/>
    </font>
    <font>
      <b/>
      <sz val="18"/>
      <color theme="1"/>
      <name val="Calibri"/>
      <family val="2"/>
    </font>
    <font>
      <b/>
      <sz val="18"/>
      <name val="Calibri"/>
      <family val="2"/>
      <scheme val="minor"/>
    </font>
    <font>
      <b/>
      <u/>
      <sz val="18"/>
      <color theme="0"/>
      <name val="Calibri"/>
      <family val="2"/>
      <scheme val="minor"/>
    </font>
    <font>
      <b/>
      <i/>
      <sz val="27.5"/>
      <color theme="0"/>
      <name val="Calibri"/>
      <family val="2"/>
      <scheme val="minor"/>
    </font>
    <font>
      <b/>
      <sz val="16"/>
      <name val="Calibri"/>
      <family val="2"/>
      <scheme val="minor"/>
    </font>
    <font>
      <sz val="16"/>
      <color theme="1"/>
      <name val="Calibri"/>
      <family val="2"/>
      <scheme val="minor"/>
    </font>
    <font>
      <b/>
      <sz val="24"/>
      <name val="Calibri"/>
      <family val="2"/>
      <scheme val="minor"/>
    </font>
    <font>
      <b/>
      <sz val="14"/>
      <name val="Calibri"/>
      <family val="2"/>
      <scheme val="minor"/>
    </font>
    <font>
      <b/>
      <u/>
      <sz val="22"/>
      <color theme="0"/>
      <name val="Calibri"/>
      <family val="2"/>
      <scheme val="minor"/>
    </font>
    <font>
      <sz val="11"/>
      <color theme="1"/>
      <name val="Calibri"/>
      <family val="2"/>
      <scheme val="minor"/>
    </font>
    <font>
      <b/>
      <u/>
      <sz val="16"/>
      <color theme="1"/>
      <name val="Calibri"/>
      <family val="2"/>
      <scheme val="minor"/>
    </font>
    <font>
      <sz val="8"/>
      <color theme="1"/>
      <name val="Calibri"/>
      <family val="2"/>
      <scheme val="minor"/>
    </font>
    <font>
      <b/>
      <sz val="8"/>
      <color theme="1"/>
      <name val="Calibri"/>
      <family val="2"/>
      <scheme val="minor"/>
    </font>
    <font>
      <b/>
      <i/>
      <sz val="14"/>
      <color theme="1"/>
      <name val="Calibri"/>
      <family val="2"/>
      <scheme val="minor"/>
    </font>
    <font>
      <sz val="14"/>
      <name val="Calibri"/>
      <family val="2"/>
      <scheme val="minor"/>
    </font>
    <font>
      <b/>
      <i/>
      <sz val="14"/>
      <name val="Calibri"/>
      <family val="2"/>
      <scheme val="minor"/>
    </font>
    <font>
      <b/>
      <i/>
      <sz val="14"/>
      <color rgb="FFFF0000"/>
      <name val="Calibri"/>
      <family val="2"/>
      <scheme val="minor"/>
    </font>
    <font>
      <b/>
      <i/>
      <u/>
      <sz val="14"/>
      <color theme="1"/>
      <name val="Calibri"/>
      <family val="2"/>
      <scheme val="minor"/>
    </font>
    <font>
      <sz val="14"/>
      <color rgb="FFFF0000"/>
      <name val="Calibri"/>
      <family val="2"/>
      <scheme val="minor"/>
    </font>
    <font>
      <i/>
      <sz val="14"/>
      <color theme="1"/>
      <name val="Calibri"/>
      <family val="2"/>
      <scheme val="minor"/>
    </font>
    <font>
      <i/>
      <sz val="14"/>
      <name val="Calibri"/>
      <family val="2"/>
      <scheme val="minor"/>
    </font>
    <font>
      <b/>
      <i/>
      <u/>
      <sz val="16"/>
      <color theme="1"/>
      <name val="Calibri"/>
      <family val="2"/>
      <scheme val="minor"/>
    </font>
    <font>
      <b/>
      <i/>
      <sz val="12"/>
      <color theme="0"/>
      <name val="Calibri"/>
      <family val="2"/>
      <scheme val="minor"/>
    </font>
    <font>
      <i/>
      <sz val="12"/>
      <color theme="1"/>
      <name val="Calibri"/>
      <family val="2"/>
      <scheme val="minor"/>
    </font>
    <font>
      <sz val="12"/>
      <color theme="1"/>
      <name val="Calibri"/>
      <family val="2"/>
      <scheme val="minor"/>
    </font>
    <font>
      <b/>
      <u/>
      <sz val="12"/>
      <color theme="1"/>
      <name val="Calibri"/>
      <family val="2"/>
      <scheme val="minor"/>
    </font>
    <font>
      <sz val="12"/>
      <name val="Calibri"/>
      <family val="2"/>
      <scheme val="minor"/>
    </font>
    <font>
      <b/>
      <sz val="12"/>
      <name val="Calibri"/>
      <family val="2"/>
      <scheme val="minor"/>
    </font>
    <font>
      <sz val="12"/>
      <color rgb="FFFF0000"/>
      <name val="Calibri"/>
      <family val="2"/>
      <scheme val="minor"/>
    </font>
    <font>
      <b/>
      <sz val="12"/>
      <color rgb="FFFF0000"/>
      <name val="Calibri"/>
      <family val="2"/>
      <scheme val="minor"/>
    </font>
    <font>
      <i/>
      <sz val="11"/>
      <color rgb="FFFF0000"/>
      <name val="Calibri"/>
      <family val="2"/>
      <scheme val="minor"/>
    </font>
    <font>
      <b/>
      <i/>
      <sz val="16"/>
      <color rgb="FFFF0000"/>
      <name val="Calibri"/>
      <family val="2"/>
      <scheme val="minor"/>
    </font>
    <font>
      <b/>
      <sz val="20"/>
      <name val="Calibri"/>
      <family val="2"/>
      <scheme val="minor"/>
    </font>
    <font>
      <sz val="20"/>
      <color theme="1"/>
      <name val="Calibri"/>
      <family val="2"/>
      <scheme val="minor"/>
    </font>
    <font>
      <sz val="10"/>
      <color theme="1"/>
      <name val="Calibri"/>
      <family val="2"/>
      <scheme val="minor"/>
    </font>
    <font>
      <b/>
      <i/>
      <sz val="22"/>
      <color theme="1"/>
      <name val="Calibri"/>
      <family val="2"/>
      <scheme val="minor"/>
    </font>
    <font>
      <sz val="18"/>
      <color theme="1"/>
      <name val="Calibri"/>
      <family val="2"/>
      <scheme val="minor"/>
    </font>
    <font>
      <b/>
      <i/>
      <sz val="22"/>
      <color theme="0"/>
      <name val="Calibri"/>
      <family val="2"/>
      <scheme val="minor"/>
    </font>
    <font>
      <sz val="22"/>
      <color theme="1"/>
      <name val="Calibri"/>
      <family val="2"/>
      <scheme val="minor"/>
    </font>
  </fonts>
  <fills count="9">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4B4B"/>
        <bgColor indexed="64"/>
      </patternFill>
    </fill>
    <fill>
      <patternFill patternType="solid">
        <fgColor rgb="FFC00000"/>
        <bgColor indexed="64"/>
      </patternFill>
    </fill>
    <fill>
      <patternFill patternType="solid">
        <fgColor theme="2" tint="-0.249977111117893"/>
        <bgColor indexed="64"/>
      </patternFill>
    </fill>
    <fill>
      <patternFill patternType="solid">
        <fgColor theme="8" tint="0.59999389629810485"/>
        <bgColor indexed="64"/>
      </patternFill>
    </fill>
  </fills>
  <borders count="77">
    <border>
      <left/>
      <right/>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thin">
        <color theme="0"/>
      </bottom>
      <diagonal/>
    </border>
    <border>
      <left/>
      <right style="thin">
        <color indexed="64"/>
      </right>
      <top style="thin">
        <color theme="0"/>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theme="0"/>
      </bottom>
      <diagonal/>
    </border>
    <border>
      <left style="medium">
        <color indexed="64"/>
      </left>
      <right style="thin">
        <color indexed="64"/>
      </right>
      <top/>
      <bottom/>
      <diagonal/>
    </border>
    <border>
      <left style="medium">
        <color indexed="64"/>
      </left>
      <right/>
      <top/>
      <bottom style="thin">
        <color theme="0"/>
      </bottom>
      <diagonal/>
    </border>
    <border>
      <left/>
      <right/>
      <top/>
      <bottom style="medium">
        <color indexed="64"/>
      </bottom>
      <diagonal/>
    </border>
    <border>
      <left style="medium">
        <color indexed="64"/>
      </left>
      <right style="medium">
        <color indexed="64"/>
      </right>
      <top/>
      <bottom style="medium">
        <color indexed="64"/>
      </bottom>
      <diagonal/>
    </border>
    <border>
      <left/>
      <right/>
      <top/>
      <bottom style="thin">
        <color theme="0"/>
      </bottom>
      <diagonal/>
    </border>
    <border>
      <left style="thin">
        <color indexed="64"/>
      </left>
      <right/>
      <top style="medium">
        <color indexed="64"/>
      </top>
      <bottom style="thin">
        <color indexed="64"/>
      </bottom>
      <diagonal/>
    </border>
    <border>
      <left/>
      <right style="medium">
        <color indexed="64"/>
      </right>
      <top/>
      <bottom style="thin">
        <color theme="0"/>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0"/>
      </right>
      <top style="thin">
        <color theme="0"/>
      </top>
      <bottom/>
      <diagonal/>
    </border>
    <border>
      <left style="medium">
        <color rgb="FF760000"/>
      </left>
      <right/>
      <top style="medium">
        <color rgb="FF760000"/>
      </top>
      <bottom style="medium">
        <color rgb="FF760000"/>
      </bottom>
      <diagonal/>
    </border>
    <border>
      <left style="medium">
        <color indexed="64"/>
      </left>
      <right style="medium">
        <color indexed="64"/>
      </right>
      <top/>
      <bottom style="thin">
        <color theme="1"/>
      </bottom>
      <diagonal/>
    </border>
    <border>
      <left/>
      <right/>
      <top style="medium">
        <color indexed="64"/>
      </top>
      <bottom style="thin">
        <color indexed="64"/>
      </bottom>
      <diagonal/>
    </border>
    <border>
      <left style="thin">
        <color theme="0"/>
      </left>
      <right/>
      <top style="thin">
        <color indexed="64"/>
      </top>
      <bottom style="thin">
        <color indexed="64"/>
      </bottom>
      <diagonal/>
    </border>
    <border>
      <left/>
      <right style="thin">
        <color indexed="64"/>
      </right>
      <top/>
      <bottom style="medium">
        <color indexed="64"/>
      </bottom>
      <diagonal/>
    </border>
    <border>
      <left style="thin">
        <color theme="0"/>
      </left>
      <right/>
      <top style="thin">
        <color theme="0"/>
      </top>
      <bottom style="thin">
        <color theme="0"/>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style="thin">
        <color theme="0"/>
      </top>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theme="0"/>
      </left>
      <right style="thin">
        <color theme="0"/>
      </right>
      <top style="thin">
        <color theme="0"/>
      </top>
      <bottom style="thin">
        <color theme="0"/>
      </bottom>
      <diagonal/>
    </border>
    <border>
      <left/>
      <right style="thin">
        <color indexed="64"/>
      </right>
      <top style="medium">
        <color indexed="64"/>
      </top>
      <bottom style="medium">
        <color indexed="64"/>
      </bottom>
      <diagonal/>
    </border>
    <border>
      <left style="thin">
        <color theme="0"/>
      </left>
      <right style="thin">
        <color theme="0"/>
      </right>
      <top/>
      <bottom style="thin">
        <color theme="0"/>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rgb="FF760000"/>
      </bottom>
      <diagonal/>
    </border>
    <border>
      <left style="medium">
        <color indexed="64"/>
      </left>
      <right style="medium">
        <color indexed="64"/>
      </right>
      <top style="medium">
        <color rgb="FF760000"/>
      </top>
      <bottom style="medium">
        <color rgb="FF760000"/>
      </bottom>
      <diagonal/>
    </border>
    <border>
      <left style="medium">
        <color indexed="64"/>
      </left>
      <right style="medium">
        <color indexed="64"/>
      </right>
      <top style="medium">
        <color rgb="FF760000"/>
      </top>
      <bottom style="medium">
        <color indexed="64"/>
      </bottom>
      <diagonal/>
    </border>
    <border>
      <left style="thin">
        <color indexed="64"/>
      </left>
      <right style="medium">
        <color indexed="64"/>
      </right>
      <top/>
      <bottom/>
      <diagonal/>
    </border>
  </borders>
  <cellStyleXfs count="3">
    <xf numFmtId="0" fontId="0" fillId="0" borderId="0"/>
    <xf numFmtId="0" fontId="25" fillId="0" borderId="0" applyNumberFormat="0" applyFill="0" applyBorder="0" applyAlignment="0" applyProtection="0"/>
    <xf numFmtId="43" fontId="37" fillId="0" borderId="0" applyFont="0" applyFill="0" applyBorder="0" applyAlignment="0" applyProtection="0"/>
  </cellStyleXfs>
  <cellXfs count="523">
    <xf numFmtId="0" fontId="0" fillId="0" borderId="0" xfId="0"/>
    <xf numFmtId="0" fontId="0" fillId="0" borderId="0" xfId="0" applyBorder="1"/>
    <xf numFmtId="0" fontId="0" fillId="0" borderId="13" xfId="0" applyBorder="1"/>
    <xf numFmtId="0" fontId="0" fillId="0" borderId="1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20" xfId="0" applyBorder="1"/>
    <xf numFmtId="0" fontId="0" fillId="0" borderId="0" xfId="0" applyFill="1" applyProtection="1"/>
    <xf numFmtId="0" fontId="12" fillId="2" borderId="6" xfId="0" applyFont="1" applyFill="1" applyBorder="1" applyAlignment="1" applyProtection="1">
      <alignment horizontal="left" vertical="center" wrapText="1" indent="1"/>
    </xf>
    <xf numFmtId="0" fontId="0" fillId="0" borderId="0" xfId="0" applyProtection="1"/>
    <xf numFmtId="0" fontId="0" fillId="0" borderId="9" xfId="0" applyBorder="1" applyAlignment="1">
      <alignment horizontal="center"/>
    </xf>
    <xf numFmtId="0" fontId="0" fillId="0" borderId="10" xfId="0" applyBorder="1" applyAlignment="1">
      <alignment horizontal="center"/>
    </xf>
    <xf numFmtId="0" fontId="32" fillId="0" borderId="51" xfId="0" applyFont="1" applyBorder="1" applyAlignment="1" applyProtection="1">
      <alignment horizontal="center" vertical="center"/>
      <protection locked="0"/>
    </xf>
    <xf numFmtId="2" fontId="4" fillId="4" borderId="5" xfId="0" applyNumberFormat="1" applyFont="1" applyFill="1" applyBorder="1" applyAlignment="1" applyProtection="1">
      <protection hidden="1"/>
    </xf>
    <xf numFmtId="0" fontId="11" fillId="0" borderId="0" xfId="0" applyFont="1" applyBorder="1"/>
    <xf numFmtId="0" fontId="0" fillId="0" borderId="21" xfId="0" applyBorder="1"/>
    <xf numFmtId="0" fontId="0" fillId="0" borderId="60" xfId="0" applyBorder="1"/>
    <xf numFmtId="0" fontId="0" fillId="0" borderId="34" xfId="0" applyBorder="1"/>
    <xf numFmtId="0" fontId="0" fillId="0" borderId="13" xfId="0" applyBorder="1" applyAlignment="1">
      <alignment horizontal="center"/>
    </xf>
    <xf numFmtId="0" fontId="0" fillId="0" borderId="17" xfId="0" applyBorder="1" applyAlignment="1">
      <alignment horizontal="center"/>
    </xf>
    <xf numFmtId="0" fontId="0" fillId="0" borderId="27" xfId="0" applyBorder="1" applyAlignment="1">
      <alignment horizontal="center"/>
    </xf>
    <xf numFmtId="0" fontId="3" fillId="0" borderId="6" xfId="0" applyFont="1" applyBorder="1"/>
    <xf numFmtId="0" fontId="3" fillId="0" borderId="5" xfId="0" applyFont="1" applyBorder="1"/>
    <xf numFmtId="0" fontId="0" fillId="0" borderId="61" xfId="0" applyBorder="1" applyAlignment="1">
      <alignment horizontal="center"/>
    </xf>
    <xf numFmtId="0" fontId="0" fillId="0" borderId="47" xfId="0" applyFont="1" applyBorder="1" applyAlignment="1">
      <alignment horizontal="center"/>
    </xf>
    <xf numFmtId="0" fontId="27" fillId="0" borderId="22" xfId="0" applyFont="1" applyBorder="1" applyProtection="1">
      <protection locked="0"/>
    </xf>
    <xf numFmtId="2" fontId="27" fillId="0" borderId="22" xfId="0" applyNumberFormat="1" applyFont="1" applyBorder="1" applyAlignment="1" applyProtection="1">
      <alignment horizontal="right" indent="1"/>
      <protection locked="0"/>
    </xf>
    <xf numFmtId="2" fontId="27" fillId="0" borderId="5" xfId="0" applyNumberFormat="1" applyFont="1" applyBorder="1" applyAlignment="1" applyProtection="1">
      <alignment horizontal="right" vertical="center" indent="1"/>
      <protection locked="0"/>
    </xf>
    <xf numFmtId="49" fontId="48" fillId="0" borderId="22" xfId="0" applyNumberFormat="1" applyFont="1" applyFill="1" applyBorder="1" applyAlignment="1" applyProtection="1">
      <alignment horizontal="center" vertical="center"/>
      <protection locked="0"/>
    </xf>
    <xf numFmtId="49" fontId="47" fillId="0" borderId="22" xfId="0" applyNumberFormat="1" applyFont="1" applyFill="1" applyBorder="1" applyAlignment="1" applyProtection="1">
      <alignment horizontal="center" vertical="center"/>
      <protection locked="0"/>
    </xf>
    <xf numFmtId="2" fontId="52" fillId="0" borderId="22" xfId="0" applyNumberFormat="1" applyFont="1" applyFill="1" applyBorder="1" applyProtection="1">
      <protection locked="0"/>
    </xf>
    <xf numFmtId="2" fontId="52" fillId="0" borderId="24" xfId="0" applyNumberFormat="1" applyFont="1" applyFill="1" applyBorder="1" applyAlignment="1" applyProtection="1">
      <alignment wrapText="1"/>
      <protection locked="0"/>
    </xf>
    <xf numFmtId="2" fontId="52" fillId="0" borderId="22" xfId="0" applyNumberFormat="1" applyFont="1" applyFill="1" applyBorder="1" applyAlignment="1" applyProtection="1">
      <alignment horizontal="right" indent="1"/>
      <protection locked="0"/>
    </xf>
    <xf numFmtId="0" fontId="52" fillId="0" borderId="22" xfId="0" applyFont="1" applyFill="1" applyBorder="1" applyAlignment="1" applyProtection="1">
      <alignment horizontal="right" indent="1"/>
      <protection locked="0"/>
    </xf>
    <xf numFmtId="2" fontId="52" fillId="0" borderId="33" xfId="0" applyNumberFormat="1" applyFont="1" applyFill="1" applyBorder="1" applyProtection="1">
      <protection locked="0"/>
    </xf>
    <xf numFmtId="2" fontId="52" fillId="0" borderId="22" xfId="0" applyNumberFormat="1" applyFont="1" applyFill="1" applyBorder="1" applyAlignment="1" applyProtection="1">
      <alignment wrapText="1"/>
      <protection locked="0"/>
    </xf>
    <xf numFmtId="2" fontId="52" fillId="0" borderId="24" xfId="0" applyNumberFormat="1" applyFont="1" applyFill="1" applyBorder="1" applyAlignment="1" applyProtection="1">
      <alignment horizontal="right"/>
      <protection locked="0"/>
    </xf>
    <xf numFmtId="2" fontId="52" fillId="0" borderId="24" xfId="0" applyNumberFormat="1" applyFont="1" applyFill="1" applyBorder="1" applyAlignment="1" applyProtection="1">
      <alignment horizontal="right" indent="1"/>
      <protection locked="0"/>
    </xf>
    <xf numFmtId="0" fontId="32" fillId="0" borderId="22" xfId="0" applyFont="1" applyFill="1" applyBorder="1" applyAlignment="1" applyProtection="1">
      <alignment horizontal="center" vertical="center"/>
      <protection locked="0"/>
    </xf>
    <xf numFmtId="2" fontId="54" fillId="0" borderId="22" xfId="0" applyNumberFormat="1" applyFont="1" applyFill="1" applyBorder="1" applyAlignment="1" applyProtection="1">
      <alignment horizontal="right" indent="1"/>
      <protection locked="0"/>
    </xf>
    <xf numFmtId="0" fontId="32" fillId="0" borderId="24" xfId="0" applyFont="1" applyFill="1" applyBorder="1" applyAlignment="1" applyProtection="1">
      <alignment horizontal="center" vertical="center"/>
      <protection locked="0"/>
    </xf>
    <xf numFmtId="0" fontId="12" fillId="0" borderId="2" xfId="0" applyFont="1" applyFill="1" applyBorder="1" applyAlignment="1" applyProtection="1">
      <alignment horizontal="center" vertical="center"/>
    </xf>
    <xf numFmtId="0" fontId="12" fillId="0" borderId="0" xfId="0" applyFont="1" applyFill="1" applyBorder="1" applyAlignment="1" applyProtection="1">
      <alignment horizontal="center" vertical="center"/>
    </xf>
    <xf numFmtId="0" fontId="11" fillId="0" borderId="0" xfId="0" applyFont="1" applyFill="1" applyAlignment="1" applyProtection="1">
      <alignment vertical="center"/>
    </xf>
    <xf numFmtId="0" fontId="0" fillId="0" borderId="0" xfId="0" applyFill="1" applyAlignment="1" applyProtection="1">
      <alignment vertical="center"/>
    </xf>
    <xf numFmtId="0" fontId="0" fillId="0" borderId="0" xfId="0" applyAlignment="1" applyProtection="1">
      <alignment vertical="center"/>
    </xf>
    <xf numFmtId="0" fontId="18" fillId="0" borderId="0" xfId="0" applyFont="1" applyFill="1" applyBorder="1" applyAlignment="1" applyProtection="1"/>
    <xf numFmtId="0" fontId="18" fillId="0" borderId="2" xfId="0" applyFont="1" applyFill="1" applyBorder="1" applyAlignment="1" applyProtection="1">
      <alignment horizontal="center"/>
    </xf>
    <xf numFmtId="0" fontId="18" fillId="0" borderId="0" xfId="0" applyFont="1" applyFill="1" applyBorder="1" applyAlignment="1" applyProtection="1">
      <alignment horizontal="center"/>
    </xf>
    <xf numFmtId="0" fontId="12" fillId="2" borderId="39" xfId="0" applyFont="1" applyFill="1" applyBorder="1" applyAlignment="1" applyProtection="1">
      <alignment horizontal="left" wrapText="1" indent="1"/>
    </xf>
    <xf numFmtId="0" fontId="27" fillId="0" borderId="0" xfId="0" applyFont="1" applyAlignment="1" applyProtection="1">
      <alignment vertical="center" wrapText="1"/>
    </xf>
    <xf numFmtId="0" fontId="33" fillId="0" borderId="0" xfId="0" applyFont="1" applyAlignment="1" applyProtection="1">
      <alignment vertical="center"/>
    </xf>
    <xf numFmtId="0" fontId="12" fillId="2" borderId="42" xfId="0" applyFont="1" applyFill="1" applyBorder="1" applyAlignment="1" applyProtection="1">
      <alignment horizontal="left" vertical="center" wrapText="1" indent="1"/>
    </xf>
    <xf numFmtId="0" fontId="3" fillId="0" borderId="0" xfId="0" applyFont="1" applyAlignment="1" applyProtection="1">
      <alignment horizontal="left" vertical="center" wrapText="1" indent="1"/>
    </xf>
    <xf numFmtId="0" fontId="2" fillId="0" borderId="0" xfId="0" applyFont="1" applyBorder="1" applyAlignment="1" applyProtection="1">
      <alignment vertical="top"/>
    </xf>
    <xf numFmtId="0" fontId="11" fillId="0" borderId="0" xfId="0" applyFont="1" applyAlignment="1" applyProtection="1">
      <alignment vertical="center"/>
    </xf>
    <xf numFmtId="0" fontId="12" fillId="2" borderId="39" xfId="0" applyFont="1" applyFill="1" applyBorder="1" applyAlignment="1" applyProtection="1">
      <alignment horizontal="left" vertical="top" wrapText="1" indent="1"/>
    </xf>
    <xf numFmtId="0" fontId="22" fillId="2" borderId="52" xfId="0" applyFont="1" applyFill="1" applyBorder="1" applyAlignment="1" applyProtection="1">
      <alignment horizontal="center" vertical="center"/>
    </xf>
    <xf numFmtId="0" fontId="22" fillId="2" borderId="53" xfId="0" applyFont="1" applyFill="1" applyBorder="1" applyAlignment="1" applyProtection="1">
      <alignment horizontal="center" vertical="center"/>
    </xf>
    <xf numFmtId="0" fontId="55" fillId="4" borderId="51" xfId="1" quotePrefix="1" applyFont="1" applyFill="1" applyBorder="1" applyAlignment="1" applyProtection="1">
      <alignment horizontal="center" vertical="center" wrapText="1"/>
    </xf>
    <xf numFmtId="0" fontId="12" fillId="2" borderId="30" xfId="0" applyFont="1" applyFill="1" applyBorder="1" applyAlignment="1" applyProtection="1">
      <alignment horizontal="left" wrapText="1" indent="1"/>
    </xf>
    <xf numFmtId="0" fontId="0" fillId="0" borderId="0" xfId="0" applyAlignment="1" applyProtection="1">
      <alignment vertical="center" wrapText="1"/>
    </xf>
    <xf numFmtId="0" fontId="18" fillId="0" borderId="0" xfId="0" applyFont="1" applyFill="1" applyBorder="1" applyAlignment="1" applyProtection="1">
      <alignment vertical="center" wrapText="1"/>
    </xf>
    <xf numFmtId="0" fontId="27" fillId="0" borderId="0" xfId="0" applyFont="1" applyProtection="1"/>
    <xf numFmtId="2" fontId="7" fillId="4" borderId="5" xfId="0" applyNumberFormat="1" applyFont="1" applyFill="1" applyBorder="1" applyAlignment="1" applyProtection="1">
      <alignment vertical="center" wrapText="1"/>
    </xf>
    <xf numFmtId="0" fontId="0" fillId="0" borderId="0" xfId="0" applyBorder="1" applyAlignment="1" applyProtection="1">
      <alignment vertical="center"/>
    </xf>
    <xf numFmtId="0" fontId="63" fillId="0" borderId="0" xfId="0" applyFont="1" applyAlignment="1" applyProtection="1">
      <alignment horizontal="left" indent="1"/>
    </xf>
    <xf numFmtId="0" fontId="66" fillId="0" borderId="0" xfId="0" applyFont="1" applyAlignment="1" applyProtection="1">
      <alignment horizontal="left" indent="1"/>
    </xf>
    <xf numFmtId="0" fontId="64" fillId="0" borderId="0" xfId="0" applyFont="1" applyProtection="1"/>
    <xf numFmtId="10" fontId="7" fillId="4" borderId="5" xfId="0" applyNumberFormat="1" applyFont="1" applyFill="1" applyBorder="1" applyAlignment="1" applyProtection="1">
      <alignment vertical="center" wrapText="1"/>
    </xf>
    <xf numFmtId="0" fontId="21" fillId="0" borderId="0" xfId="0" applyFont="1" applyProtection="1"/>
    <xf numFmtId="0" fontId="21" fillId="0" borderId="0" xfId="0" applyFont="1" applyBorder="1" applyAlignment="1" applyProtection="1">
      <alignment horizontal="left" vertical="center"/>
    </xf>
    <xf numFmtId="0" fontId="21" fillId="0" borderId="0" xfId="0" applyFont="1" applyBorder="1" applyAlignment="1" applyProtection="1">
      <alignment vertical="center" wrapText="1"/>
    </xf>
    <xf numFmtId="0" fontId="35" fillId="3" borderId="5" xfId="0" applyFont="1" applyFill="1" applyBorder="1" applyAlignment="1" applyProtection="1">
      <alignment horizontal="left" vertical="center" wrapText="1" indent="1"/>
    </xf>
    <xf numFmtId="0" fontId="4" fillId="0" borderId="5" xfId="0" applyFont="1" applyFill="1" applyBorder="1" applyAlignment="1" applyProtection="1">
      <alignment horizontal="center" vertical="center" wrapText="1"/>
    </xf>
    <xf numFmtId="0" fontId="35" fillId="0" borderId="5" xfId="0" applyFont="1" applyFill="1" applyBorder="1" applyAlignment="1" applyProtection="1">
      <alignment horizontal="center" vertical="center" wrapText="1"/>
    </xf>
    <xf numFmtId="0" fontId="4" fillId="0" borderId="5" xfId="0" applyFont="1" applyFill="1" applyBorder="1" applyAlignment="1" applyProtection="1">
      <alignment horizontal="center" vertical="center"/>
    </xf>
    <xf numFmtId="0" fontId="12" fillId="2" borderId="37" xfId="0" applyFont="1" applyFill="1" applyBorder="1" applyAlignment="1" applyProtection="1">
      <alignment horizontal="left" wrapText="1" indent="1"/>
    </xf>
    <xf numFmtId="2" fontId="27" fillId="4" borderId="33" xfId="0" applyNumberFormat="1" applyFont="1" applyFill="1" applyBorder="1" applyAlignment="1" applyProtection="1">
      <alignment vertical="center"/>
    </xf>
    <xf numFmtId="44" fontId="4" fillId="4" borderId="33" xfId="0" quotePrefix="1" applyNumberFormat="1" applyFont="1" applyFill="1" applyBorder="1" applyAlignment="1" applyProtection="1">
      <alignment horizontal="center" vertical="center"/>
    </xf>
    <xf numFmtId="44" fontId="4" fillId="4" borderId="17" xfId="0" quotePrefix="1" applyNumberFormat="1" applyFont="1" applyFill="1" applyBorder="1" applyAlignment="1" applyProtection="1">
      <alignment horizontal="center" vertical="center"/>
    </xf>
    <xf numFmtId="2" fontId="27" fillId="4" borderId="47" xfId="0" applyNumberFormat="1" applyFont="1" applyFill="1" applyBorder="1" applyAlignment="1" applyProtection="1">
      <alignment vertical="center"/>
    </xf>
    <xf numFmtId="2" fontId="27" fillId="4" borderId="22" xfId="0" applyNumberFormat="1" applyFont="1" applyFill="1" applyBorder="1" applyAlignment="1" applyProtection="1">
      <alignment vertical="center"/>
    </xf>
    <xf numFmtId="2" fontId="27" fillId="4" borderId="10" xfId="0" applyNumberFormat="1" applyFont="1" applyFill="1" applyBorder="1" applyAlignment="1" applyProtection="1">
      <alignment vertical="center"/>
    </xf>
    <xf numFmtId="44" fontId="4" fillId="4" borderId="22" xfId="0" quotePrefix="1" applyNumberFormat="1" applyFont="1" applyFill="1" applyBorder="1" applyAlignment="1" applyProtection="1">
      <alignment horizontal="center" vertical="center"/>
    </xf>
    <xf numFmtId="44" fontId="4" fillId="4" borderId="10" xfId="0" quotePrefix="1" applyNumberFormat="1" applyFont="1" applyFill="1" applyBorder="1" applyAlignment="1" applyProtection="1">
      <alignment horizontal="center" vertical="center"/>
    </xf>
    <xf numFmtId="2" fontId="27" fillId="4" borderId="46" xfId="0" applyNumberFormat="1" applyFont="1" applyFill="1" applyBorder="1" applyAlignment="1" applyProtection="1">
      <alignment vertical="center"/>
    </xf>
    <xf numFmtId="0" fontId="12" fillId="2" borderId="38" xfId="0" applyFont="1" applyFill="1" applyBorder="1" applyAlignment="1" applyProtection="1">
      <alignment horizontal="left" wrapText="1" indent="1"/>
    </xf>
    <xf numFmtId="44" fontId="4" fillId="4" borderId="24" xfId="0" quotePrefix="1" applyNumberFormat="1" applyFont="1" applyFill="1" applyBorder="1" applyAlignment="1" applyProtection="1">
      <alignment horizontal="center" vertical="center"/>
    </xf>
    <xf numFmtId="44" fontId="4" fillId="4" borderId="71" xfId="0" quotePrefix="1" applyNumberFormat="1" applyFont="1" applyFill="1" applyBorder="1" applyAlignment="1" applyProtection="1">
      <alignment horizontal="center" vertical="center"/>
    </xf>
    <xf numFmtId="0" fontId="35" fillId="3" borderId="6" xfId="0" applyFont="1" applyFill="1" applyBorder="1" applyAlignment="1" applyProtection="1">
      <alignment horizontal="left" vertical="center" wrapText="1" indent="1"/>
    </xf>
    <xf numFmtId="2" fontId="35" fillId="8" borderId="5" xfId="0" applyNumberFormat="1" applyFont="1" applyFill="1" applyBorder="1" applyAlignment="1" applyProtection="1">
      <alignment horizontal="right" vertical="center"/>
    </xf>
    <xf numFmtId="2" fontId="4" fillId="0" borderId="5" xfId="0" applyNumberFormat="1" applyFont="1" applyFill="1" applyBorder="1" applyAlignment="1" applyProtection="1">
      <alignment horizontal="right" vertical="center"/>
    </xf>
    <xf numFmtId="0" fontId="0" fillId="0" borderId="0" xfId="0" applyAlignment="1" applyProtection="1">
      <alignment horizontal="center" vertical="center"/>
    </xf>
    <xf numFmtId="0" fontId="18" fillId="0" borderId="0" xfId="0" applyFont="1" applyFill="1" applyBorder="1" applyAlignment="1" applyProtection="1">
      <alignment horizontal="center" vertical="center"/>
    </xf>
    <xf numFmtId="0" fontId="0" fillId="0" borderId="0" xfId="0" applyFill="1" applyAlignment="1" applyProtection="1">
      <alignment horizontal="center" vertical="center"/>
    </xf>
    <xf numFmtId="0" fontId="10" fillId="2" borderId="42" xfId="0" applyFont="1" applyFill="1" applyBorder="1" applyAlignment="1" applyProtection="1">
      <alignment horizontal="center" vertical="center" wrapText="1"/>
    </xf>
    <xf numFmtId="0" fontId="11" fillId="0" borderId="0" xfId="0" quotePrefix="1" applyFont="1" applyAlignment="1" applyProtection="1">
      <alignment horizontal="left" vertical="center"/>
    </xf>
    <xf numFmtId="0" fontId="0" fillId="0" borderId="0" xfId="0" applyFont="1" applyBorder="1" applyAlignment="1" applyProtection="1">
      <alignment horizontal="left" vertical="center" wrapText="1"/>
    </xf>
    <xf numFmtId="0" fontId="0" fillId="0" borderId="0" xfId="0" applyBorder="1" applyAlignment="1" applyProtection="1">
      <alignment horizontal="right" vertical="center"/>
    </xf>
    <xf numFmtId="0" fontId="41" fillId="0" borderId="0" xfId="0" applyFont="1" applyProtection="1"/>
    <xf numFmtId="0" fontId="27" fillId="0" borderId="0" xfId="0" applyFont="1" applyAlignment="1" applyProtection="1">
      <alignment horizontal="center" vertical="center"/>
    </xf>
    <xf numFmtId="0" fontId="13" fillId="0" borderId="0" xfId="0" applyFont="1" applyAlignment="1" applyProtection="1">
      <alignment horizontal="left" wrapText="1" indent="1"/>
    </xf>
    <xf numFmtId="0" fontId="4" fillId="0" borderId="5" xfId="0" applyFont="1" applyBorder="1" applyAlignment="1" applyProtection="1">
      <alignment horizontal="center" wrapText="1"/>
    </xf>
    <xf numFmtId="0" fontId="4" fillId="0" borderId="8" xfId="0" applyFont="1" applyBorder="1" applyAlignment="1" applyProtection="1">
      <alignment horizontal="center" wrapText="1"/>
    </xf>
    <xf numFmtId="0" fontId="4" fillId="0" borderId="0" xfId="0" applyFont="1" applyBorder="1" applyAlignment="1" applyProtection="1">
      <alignment horizontal="center" wrapText="1"/>
    </xf>
    <xf numFmtId="0" fontId="41" fillId="0" borderId="0" xfId="0" applyFont="1" applyBorder="1" applyAlignment="1" applyProtection="1">
      <alignment horizontal="left" indent="1"/>
    </xf>
    <xf numFmtId="0" fontId="27" fillId="0" borderId="22" xfId="0" applyFont="1" applyBorder="1" applyAlignment="1" applyProtection="1">
      <alignment horizontal="center" vertical="center"/>
    </xf>
    <xf numFmtId="2" fontId="27" fillId="4" borderId="22" xfId="0" applyNumberFormat="1" applyFont="1" applyFill="1" applyBorder="1" applyAlignment="1" applyProtection="1">
      <alignment horizontal="right" indent="1"/>
    </xf>
    <xf numFmtId="0" fontId="27" fillId="0" borderId="0" xfId="0" applyFont="1" applyBorder="1" applyAlignment="1" applyProtection="1">
      <alignment horizontal="right" indent="1"/>
    </xf>
    <xf numFmtId="2" fontId="4" fillId="4" borderId="41" xfId="0" applyNumberFormat="1" applyFont="1" applyFill="1" applyBorder="1" applyAlignment="1" applyProtection="1">
      <alignment horizontal="center" vertical="center" wrapText="1"/>
    </xf>
    <xf numFmtId="0" fontId="43" fillId="0" borderId="0" xfId="0" applyFont="1" applyFill="1" applyBorder="1" applyAlignment="1" applyProtection="1">
      <alignment horizontal="left" indent="1"/>
    </xf>
    <xf numFmtId="0" fontId="27" fillId="0" borderId="0" xfId="0" applyFont="1" applyBorder="1" applyProtection="1"/>
    <xf numFmtId="0" fontId="46" fillId="0" borderId="0" xfId="0" applyFont="1" applyProtection="1"/>
    <xf numFmtId="0" fontId="43" fillId="0" borderId="0" xfId="0" applyFont="1" applyFill="1" applyBorder="1" applyAlignment="1" applyProtection="1">
      <alignment horizontal="left" wrapText="1" indent="1"/>
    </xf>
    <xf numFmtId="0" fontId="27" fillId="0" borderId="0" xfId="0" applyFont="1" applyAlignment="1" applyProtection="1">
      <alignment vertical="center"/>
    </xf>
    <xf numFmtId="0" fontId="27" fillId="0" borderId="0" xfId="0" applyFont="1" applyBorder="1" applyAlignment="1" applyProtection="1">
      <alignment vertical="center"/>
    </xf>
    <xf numFmtId="0" fontId="5" fillId="0" borderId="42" xfId="0" applyFont="1" applyFill="1" applyBorder="1" applyAlignment="1" applyProtection="1">
      <alignment horizontal="left" wrapText="1" indent="1"/>
    </xf>
    <xf numFmtId="0" fontId="27" fillId="0" borderId="0" xfId="0" applyFont="1" applyFill="1" applyBorder="1" applyProtection="1"/>
    <xf numFmtId="2" fontId="27" fillId="0" borderId="0" xfId="0" applyNumberFormat="1" applyFont="1" applyFill="1" applyBorder="1" applyAlignment="1" applyProtection="1">
      <alignment horizontal="right" indent="1"/>
    </xf>
    <xf numFmtId="0" fontId="27" fillId="0" borderId="0" xfId="0" applyFont="1" applyFill="1" applyBorder="1" applyAlignment="1" applyProtection="1">
      <alignment horizontal="right" indent="1"/>
    </xf>
    <xf numFmtId="0" fontId="27" fillId="0" borderId="0" xfId="0" applyFont="1" applyFill="1" applyProtection="1"/>
    <xf numFmtId="0" fontId="43" fillId="0" borderId="42" xfId="0" applyFont="1" applyFill="1" applyBorder="1" applyAlignment="1" applyProtection="1">
      <alignment horizontal="left" vertical="center" wrapText="1" indent="1"/>
    </xf>
    <xf numFmtId="0" fontId="47" fillId="0" borderId="0" xfId="0" applyFont="1" applyProtection="1"/>
    <xf numFmtId="0" fontId="46" fillId="0" borderId="0" xfId="0" applyFont="1" applyFill="1" applyAlignment="1" applyProtection="1"/>
    <xf numFmtId="0" fontId="27" fillId="0" borderId="0" xfId="0" applyFont="1" applyBorder="1" applyAlignment="1" applyProtection="1">
      <alignment vertical="center" wrapText="1"/>
    </xf>
    <xf numFmtId="0" fontId="4" fillId="0" borderId="50" xfId="0" applyFont="1" applyBorder="1" applyAlignment="1" applyProtection="1">
      <alignment horizontal="center" vertical="center" wrapText="1"/>
    </xf>
    <xf numFmtId="2" fontId="4" fillId="4" borderId="5" xfId="0" applyNumberFormat="1" applyFont="1" applyFill="1" applyBorder="1" applyAlignment="1" applyProtection="1">
      <alignment horizontal="center" vertical="center" wrapText="1"/>
    </xf>
    <xf numFmtId="2" fontId="27" fillId="0" borderId="22" xfId="0" applyNumberFormat="1" applyFont="1" applyBorder="1" applyAlignment="1" applyProtection="1">
      <alignment horizontal="center" vertical="center"/>
    </xf>
    <xf numFmtId="0" fontId="0" fillId="0" borderId="0" xfId="0" applyFill="1" applyProtection="1">
      <protection hidden="1"/>
    </xf>
    <xf numFmtId="0" fontId="18" fillId="0" borderId="0" xfId="0" applyFont="1" applyFill="1" applyBorder="1" applyAlignment="1" applyProtection="1">
      <protection hidden="1"/>
    </xf>
    <xf numFmtId="0" fontId="18" fillId="0" borderId="0" xfId="0" applyFont="1" applyFill="1" applyBorder="1" applyAlignment="1" applyProtection="1">
      <alignment horizontal="center"/>
      <protection hidden="1"/>
    </xf>
    <xf numFmtId="0" fontId="10" fillId="2" borderId="42" xfId="0" applyFont="1" applyFill="1" applyBorder="1" applyAlignment="1" applyProtection="1">
      <alignment horizontal="center" vertical="center" wrapText="1"/>
      <protection hidden="1"/>
    </xf>
    <xf numFmtId="0" fontId="11" fillId="0" borderId="0" xfId="0" quotePrefix="1" applyFont="1" applyAlignment="1" applyProtection="1">
      <alignment horizontal="left" vertical="center"/>
      <protection hidden="1"/>
    </xf>
    <xf numFmtId="0" fontId="0" fillId="0" borderId="0" xfId="0" applyProtection="1">
      <protection hidden="1"/>
    </xf>
    <xf numFmtId="0" fontId="0" fillId="0" borderId="0" xfId="0" applyBorder="1" applyProtection="1">
      <protection hidden="1"/>
    </xf>
    <xf numFmtId="0" fontId="6" fillId="0" borderId="0" xfId="0" applyFont="1" applyFill="1" applyBorder="1" applyAlignment="1" applyProtection="1">
      <alignment vertical="center" wrapText="1"/>
      <protection hidden="1"/>
    </xf>
    <xf numFmtId="0" fontId="6" fillId="0" borderId="0" xfId="0" applyFont="1" applyFill="1" applyBorder="1" applyAlignment="1" applyProtection="1">
      <alignment horizontal="right" vertical="center"/>
      <protection hidden="1"/>
    </xf>
    <xf numFmtId="0" fontId="0" fillId="0" borderId="0" xfId="0" applyFill="1" applyBorder="1" applyProtection="1">
      <protection hidden="1"/>
    </xf>
    <xf numFmtId="0" fontId="19" fillId="0" borderId="0" xfId="0" applyFont="1" applyProtection="1">
      <protection hidden="1"/>
    </xf>
    <xf numFmtId="0" fontId="19"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vertical="center"/>
      <protection hidden="1"/>
    </xf>
    <xf numFmtId="0" fontId="50" fillId="2" borderId="30" xfId="0" applyFont="1" applyFill="1" applyBorder="1" applyAlignment="1" applyProtection="1">
      <alignment horizontal="left" vertical="top" indent="1"/>
      <protection hidden="1"/>
    </xf>
    <xf numFmtId="0" fontId="28" fillId="0" borderId="0" xfId="0" quotePrefix="1" applyFont="1" applyAlignment="1" applyProtection="1">
      <alignment horizontal="center" vertical="center"/>
      <protection hidden="1"/>
    </xf>
    <xf numFmtId="0" fontId="26" fillId="5" borderId="73" xfId="1" applyFont="1" applyFill="1" applyBorder="1" applyAlignment="1" applyProtection="1">
      <alignment horizontal="center" vertical="center"/>
      <protection hidden="1"/>
    </xf>
    <xf numFmtId="0" fontId="26" fillId="0" borderId="0" xfId="1" applyFont="1" applyFill="1" applyBorder="1" applyAlignment="1" applyProtection="1">
      <alignment vertical="center"/>
      <protection hidden="1"/>
    </xf>
    <xf numFmtId="0" fontId="26" fillId="5" borderId="74" xfId="1" applyFont="1" applyFill="1" applyBorder="1" applyAlignment="1" applyProtection="1">
      <alignment horizontal="center" vertical="center"/>
      <protection hidden="1"/>
    </xf>
    <xf numFmtId="0" fontId="26" fillId="5" borderId="75" xfId="1" applyFont="1" applyFill="1" applyBorder="1" applyAlignment="1" applyProtection="1">
      <alignment horizontal="center" vertical="center"/>
      <protection hidden="1"/>
    </xf>
    <xf numFmtId="0" fontId="0" fillId="0" borderId="0" xfId="0" applyAlignment="1" applyProtection="1">
      <alignment horizontal="center"/>
      <protection hidden="1"/>
    </xf>
    <xf numFmtId="0" fontId="14" fillId="4" borderId="0" xfId="0" applyFont="1" applyFill="1" applyAlignment="1" applyProtection="1">
      <alignment horizontal="left" wrapText="1" indent="1"/>
      <protection hidden="1"/>
    </xf>
    <xf numFmtId="0" fontId="6" fillId="0" borderId="0" xfId="0" applyFont="1" applyBorder="1" applyAlignment="1" applyProtection="1">
      <alignment vertical="center"/>
      <protection hidden="1"/>
    </xf>
    <xf numFmtId="0" fontId="6" fillId="0" borderId="0" xfId="0" applyFont="1" applyFill="1" applyBorder="1" applyAlignment="1" applyProtection="1">
      <alignment vertical="center"/>
      <protection hidden="1"/>
    </xf>
    <xf numFmtId="0" fontId="13" fillId="0" borderId="0" xfId="0" applyFont="1" applyAlignment="1" applyProtection="1">
      <alignment horizontal="left" wrapText="1" indent="1"/>
      <protection hidden="1"/>
    </xf>
    <xf numFmtId="0" fontId="27" fillId="0" borderId="0" xfId="0" applyFont="1" applyBorder="1" applyAlignment="1" applyProtection="1">
      <alignment horizontal="center" vertical="center" wrapText="1"/>
      <protection hidden="1"/>
    </xf>
    <xf numFmtId="0" fontId="50" fillId="2" borderId="0" xfId="0" applyFont="1" applyFill="1" applyBorder="1" applyAlignment="1" applyProtection="1">
      <alignment horizontal="left" vertical="top" wrapText="1" indent="1"/>
      <protection hidden="1"/>
    </xf>
    <xf numFmtId="0" fontId="39" fillId="0" borderId="22" xfId="0" applyFont="1" applyBorder="1" applyAlignment="1" applyProtection="1">
      <alignment horizontal="center" vertical="center"/>
      <protection hidden="1"/>
    </xf>
    <xf numFmtId="0" fontId="50" fillId="2" borderId="42" xfId="0" applyFont="1" applyFill="1" applyBorder="1" applyAlignment="1" applyProtection="1">
      <alignment horizontal="left" vertical="top" wrapText="1" indent="1"/>
      <protection hidden="1"/>
    </xf>
    <xf numFmtId="0" fontId="0" fillId="0" borderId="22" xfId="0" applyFill="1" applyBorder="1" applyAlignment="1" applyProtection="1">
      <alignment horizontal="center" vertical="center"/>
      <protection hidden="1"/>
    </xf>
    <xf numFmtId="0" fontId="52" fillId="0" borderId="20" xfId="0" applyFont="1" applyBorder="1" applyAlignment="1" applyProtection="1">
      <alignment horizontal="right" vertical="center" wrapText="1"/>
      <protection hidden="1"/>
    </xf>
    <xf numFmtId="0" fontId="0" fillId="0" borderId="0" xfId="0" applyFill="1" applyAlignment="1" applyProtection="1">
      <alignment vertical="center"/>
      <protection hidden="1"/>
    </xf>
    <xf numFmtId="0" fontId="0" fillId="0" borderId="0" xfId="0" applyFill="1" applyAlignment="1" applyProtection="1">
      <alignment horizontal="center" vertical="center"/>
      <protection hidden="1"/>
    </xf>
    <xf numFmtId="0" fontId="11" fillId="0" borderId="0" xfId="0" applyFont="1" applyFill="1" applyBorder="1" applyProtection="1">
      <protection hidden="1"/>
    </xf>
    <xf numFmtId="0" fontId="21" fillId="0" borderId="0" xfId="0" applyFont="1" applyFill="1" applyBorder="1" applyProtection="1">
      <protection hidden="1"/>
    </xf>
    <xf numFmtId="0" fontId="20" fillId="0" borderId="0" xfId="0" applyFont="1" applyFill="1" applyBorder="1" applyAlignment="1" applyProtection="1">
      <alignment vertical="center"/>
      <protection hidden="1"/>
    </xf>
    <xf numFmtId="0" fontId="20" fillId="0" borderId="0" xfId="0" applyFont="1" applyFill="1" applyBorder="1" applyAlignment="1" applyProtection="1">
      <alignment vertical="center" wrapText="1"/>
      <protection hidden="1"/>
    </xf>
    <xf numFmtId="0" fontId="20" fillId="0" borderId="22" xfId="0" applyFont="1" applyFill="1" applyBorder="1" applyAlignment="1" applyProtection="1">
      <alignment horizontal="center" vertical="center" wrapText="1"/>
      <protection hidden="1"/>
    </xf>
    <xf numFmtId="0" fontId="50" fillId="2" borderId="59" xfId="0" applyFont="1" applyFill="1" applyBorder="1" applyAlignment="1" applyProtection="1">
      <alignment horizontal="left" vertical="top" wrapText="1" indent="1"/>
      <protection hidden="1"/>
    </xf>
    <xf numFmtId="0" fontId="50" fillId="2" borderId="29" xfId="0" applyFont="1" applyFill="1" applyBorder="1" applyAlignment="1" applyProtection="1">
      <alignment horizontal="left" vertical="top" wrapText="1" indent="1"/>
      <protection hidden="1"/>
    </xf>
    <xf numFmtId="0" fontId="12" fillId="2" borderId="6" xfId="0" applyFont="1" applyFill="1" applyBorder="1" applyAlignment="1" applyProtection="1">
      <alignment horizontal="left" vertical="center" wrapText="1" indent="1"/>
      <protection hidden="1"/>
    </xf>
    <xf numFmtId="0" fontId="36" fillId="6" borderId="0" xfId="1" applyFont="1" applyFill="1" applyBorder="1" applyAlignment="1" applyProtection="1">
      <alignment horizontal="center" vertical="center" wrapText="1"/>
      <protection hidden="1"/>
    </xf>
    <xf numFmtId="0" fontId="12" fillId="0" borderId="0" xfId="0" applyFont="1" applyFill="1" applyBorder="1" applyAlignment="1" applyProtection="1">
      <alignment horizontal="left" vertical="center" wrapText="1" indent="1"/>
      <protection hidden="1"/>
    </xf>
    <xf numFmtId="0" fontId="11" fillId="0" borderId="0" xfId="0" applyFont="1" applyFill="1" applyBorder="1" applyAlignment="1" applyProtection="1">
      <alignment vertical="center"/>
      <protection hidden="1"/>
    </xf>
    <xf numFmtId="0" fontId="4" fillId="0" borderId="0" xfId="0" applyFont="1" applyFill="1" applyBorder="1" applyAlignment="1" applyProtection="1">
      <protection hidden="1"/>
    </xf>
    <xf numFmtId="0" fontId="3" fillId="0" borderId="5" xfId="0" applyFont="1" applyBorder="1" applyAlignment="1" applyProtection="1">
      <alignment horizontal="center" vertical="center" wrapText="1"/>
      <protection hidden="1"/>
    </xf>
    <xf numFmtId="2" fontId="4" fillId="4" borderId="5" xfId="0" applyNumberFormat="1" applyFont="1" applyFill="1" applyBorder="1" applyAlignment="1" applyProtection="1">
      <alignment horizontal="center" vertical="center" wrapText="1"/>
      <protection hidden="1"/>
    </xf>
    <xf numFmtId="2" fontId="0" fillId="0" borderId="22" xfId="0" applyNumberFormat="1" applyBorder="1" applyAlignment="1" applyProtection="1">
      <alignment horizontal="center" vertical="center"/>
      <protection hidden="1"/>
    </xf>
    <xf numFmtId="0" fontId="52" fillId="0" borderId="33" xfId="0" applyFont="1" applyFill="1" applyBorder="1" applyAlignment="1" applyProtection="1">
      <alignment horizontal="center" vertical="center" wrapText="1"/>
      <protection locked="0" hidden="1"/>
    </xf>
    <xf numFmtId="2" fontId="52" fillId="0" borderId="22" xfId="0" applyNumberFormat="1" applyFont="1" applyFill="1" applyBorder="1" applyProtection="1">
      <protection locked="0" hidden="1"/>
    </xf>
    <xf numFmtId="2" fontId="52" fillId="0" borderId="24" xfId="0" applyNumberFormat="1" applyFont="1" applyFill="1" applyBorder="1" applyAlignment="1" applyProtection="1">
      <alignment wrapText="1"/>
      <protection locked="0" hidden="1"/>
    </xf>
    <xf numFmtId="0" fontId="52" fillId="0" borderId="22" xfId="0" applyFont="1" applyBorder="1" applyAlignment="1" applyProtection="1">
      <alignment horizontal="center" vertical="center" wrapText="1"/>
      <protection locked="0" hidden="1"/>
    </xf>
    <xf numFmtId="2" fontId="52" fillId="0" borderId="24" xfId="0" applyNumberFormat="1" applyFont="1" applyFill="1" applyBorder="1" applyProtection="1">
      <protection locked="0" hidden="1"/>
    </xf>
    <xf numFmtId="0" fontId="0" fillId="0" borderId="0" xfId="0" applyAlignment="1" applyProtection="1">
      <alignment horizontal="center"/>
    </xf>
    <xf numFmtId="0" fontId="0" fillId="0" borderId="0" xfId="0" applyFill="1" applyAlignment="1" applyProtection="1">
      <alignment horizontal="center"/>
    </xf>
    <xf numFmtId="0" fontId="11" fillId="0" borderId="0" xfId="0" applyFont="1" applyProtection="1"/>
    <xf numFmtId="0" fontId="0" fillId="0" borderId="0" xfId="0" applyBorder="1" applyProtection="1"/>
    <xf numFmtId="0" fontId="6" fillId="0" borderId="0" xfId="0" applyFont="1" applyFill="1" applyBorder="1" applyAlignment="1" applyProtection="1">
      <alignment vertical="center" wrapText="1"/>
    </xf>
    <xf numFmtId="0" fontId="6" fillId="0" borderId="0" xfId="0" applyFont="1" applyFill="1" applyBorder="1" applyAlignment="1" applyProtection="1">
      <alignment horizontal="right" vertical="center"/>
    </xf>
    <xf numFmtId="0" fontId="0" fillId="0" borderId="0" xfId="0" applyFill="1" applyBorder="1" applyProtection="1"/>
    <xf numFmtId="0" fontId="22" fillId="0" borderId="0" xfId="0" applyFont="1" applyFill="1" applyBorder="1" applyAlignment="1" applyProtection="1">
      <alignment vertical="center" wrapText="1"/>
    </xf>
    <xf numFmtId="0" fontId="7" fillId="0" borderId="0" xfId="0" applyFont="1" applyProtection="1"/>
    <xf numFmtId="0" fontId="14" fillId="0" borderId="0" xfId="0" applyFont="1" applyAlignment="1" applyProtection="1">
      <alignment horizontal="center"/>
    </xf>
    <xf numFmtId="0" fontId="3" fillId="0" borderId="5" xfId="0" applyFont="1" applyBorder="1" applyAlignment="1" applyProtection="1">
      <alignment horizontal="center" vertical="center" wrapText="1"/>
    </xf>
    <xf numFmtId="0" fontId="40" fillId="0" borderId="22" xfId="0" applyFont="1" applyBorder="1" applyProtection="1"/>
    <xf numFmtId="0" fontId="12" fillId="2" borderId="30" xfId="0" applyFont="1" applyFill="1" applyBorder="1" applyAlignment="1" applyProtection="1">
      <alignment horizontal="center" vertical="top"/>
    </xf>
    <xf numFmtId="0" fontId="26" fillId="5" borderId="54" xfId="1" quotePrefix="1" applyFont="1" applyFill="1" applyBorder="1" applyAlignment="1" applyProtection="1">
      <alignment horizontal="center" vertical="center"/>
    </xf>
    <xf numFmtId="2" fontId="42" fillId="4" borderId="55" xfId="0" applyNumberFormat="1" applyFont="1" applyFill="1" applyBorder="1" applyAlignment="1" applyProtection="1">
      <alignment horizontal="center"/>
    </xf>
    <xf numFmtId="2" fontId="62" fillId="0" borderId="22" xfId="0" applyNumberFormat="1" applyFont="1" applyBorder="1" applyProtection="1"/>
    <xf numFmtId="2" fontId="42" fillId="4" borderId="47" xfId="0" applyNumberFormat="1" applyFont="1" applyFill="1" applyBorder="1" applyAlignment="1" applyProtection="1">
      <alignment horizontal="center"/>
    </xf>
    <xf numFmtId="2" fontId="42" fillId="4" borderId="46" xfId="0" applyNumberFormat="1" applyFont="1" applyFill="1" applyBorder="1" applyAlignment="1" applyProtection="1">
      <alignment horizontal="center"/>
    </xf>
    <xf numFmtId="2" fontId="42" fillId="4" borderId="48" xfId="0" applyNumberFormat="1" applyFont="1" applyFill="1" applyBorder="1" applyAlignment="1" applyProtection="1">
      <alignment horizontal="center"/>
    </xf>
    <xf numFmtId="0" fontId="12" fillId="0" borderId="0" xfId="0" applyFont="1" applyFill="1" applyBorder="1" applyAlignment="1" applyProtection="1">
      <alignment horizontal="left" vertical="top" indent="1"/>
    </xf>
    <xf numFmtId="0" fontId="47" fillId="0" borderId="0" xfId="0" applyFont="1" applyFill="1" applyBorder="1" applyAlignment="1" applyProtection="1">
      <alignment vertical="center"/>
    </xf>
    <xf numFmtId="0" fontId="62" fillId="0" borderId="0" xfId="0" applyFont="1" applyFill="1" applyBorder="1" applyProtection="1"/>
    <xf numFmtId="0" fontId="62" fillId="0" borderId="0" xfId="0" applyFont="1" applyFill="1" applyProtection="1"/>
    <xf numFmtId="0" fontId="38" fillId="0" borderId="6" xfId="0" applyFont="1" applyBorder="1" applyAlignment="1" applyProtection="1">
      <alignment horizontal="center" vertical="center" wrapText="1"/>
    </xf>
    <xf numFmtId="2" fontId="4" fillId="4" borderId="5" xfId="0" applyNumberFormat="1" applyFont="1" applyFill="1" applyBorder="1" applyAlignment="1" applyProtection="1">
      <alignment vertical="center"/>
    </xf>
    <xf numFmtId="0" fontId="62" fillId="0" borderId="0" xfId="0" applyFont="1" applyProtection="1"/>
    <xf numFmtId="2" fontId="62" fillId="0" borderId="24" xfId="0" applyNumberFormat="1" applyFont="1" applyBorder="1" applyProtection="1"/>
    <xf numFmtId="2" fontId="2" fillId="0" borderId="18" xfId="0" applyNumberFormat="1" applyFont="1" applyBorder="1" applyProtection="1"/>
    <xf numFmtId="2" fontId="2" fillId="0" borderId="28" xfId="0" applyNumberFormat="1" applyFont="1" applyBorder="1" applyProtection="1"/>
    <xf numFmtId="0" fontId="2" fillId="0" borderId="19" xfId="0" applyFont="1" applyBorder="1" applyProtection="1"/>
    <xf numFmtId="2" fontId="39" fillId="0" borderId="22" xfId="0" applyNumberFormat="1" applyFont="1" applyBorder="1" applyProtection="1"/>
    <xf numFmtId="2" fontId="39" fillId="0" borderId="24" xfId="0" applyNumberFormat="1" applyFont="1" applyBorder="1" applyProtection="1"/>
    <xf numFmtId="0" fontId="11" fillId="0" borderId="0" xfId="0" applyFont="1" applyAlignment="1" applyProtection="1">
      <alignment wrapText="1"/>
    </xf>
    <xf numFmtId="0" fontId="5" fillId="0" borderId="0" xfId="0" applyFont="1" applyFill="1" applyBorder="1" applyAlignment="1" applyProtection="1">
      <alignment horizontal="center" vertical="center"/>
    </xf>
    <xf numFmtId="0" fontId="0" fillId="0" borderId="0" xfId="0" applyFill="1" applyBorder="1" applyAlignment="1" applyProtection="1">
      <alignment horizontal="right" vertical="center" wrapText="1"/>
    </xf>
    <xf numFmtId="0" fontId="0" fillId="0" borderId="0" xfId="0" applyFill="1" applyBorder="1" applyAlignment="1" applyProtection="1">
      <alignment vertical="center"/>
    </xf>
    <xf numFmtId="0" fontId="0" fillId="0" borderId="0" xfId="0" applyFill="1" applyBorder="1" applyAlignment="1" applyProtection="1">
      <alignment vertical="center" wrapText="1"/>
    </xf>
    <xf numFmtId="0" fontId="0" fillId="0" borderId="0" xfId="0" applyBorder="1" applyAlignment="1" applyProtection="1">
      <alignment horizontal="center" wrapText="1"/>
    </xf>
    <xf numFmtId="0" fontId="8" fillId="0" borderId="0" xfId="0" applyFont="1" applyBorder="1" applyAlignment="1" applyProtection="1">
      <alignment vertical="center"/>
    </xf>
    <xf numFmtId="0" fontId="13" fillId="0" borderId="0" xfId="0" applyFont="1" applyAlignment="1" applyProtection="1">
      <alignment horizontal="left" indent="1"/>
    </xf>
    <xf numFmtId="0" fontId="39" fillId="0" borderId="22" xfId="0" applyFont="1" applyBorder="1" applyAlignment="1" applyProtection="1">
      <alignment horizontal="center" vertical="center"/>
    </xf>
    <xf numFmtId="0" fontId="50" fillId="2" borderId="0" xfId="0" applyFont="1" applyFill="1" applyBorder="1" applyAlignment="1" applyProtection="1">
      <alignment horizontal="left" vertical="top" wrapText="1" indent="1"/>
    </xf>
    <xf numFmtId="0" fontId="0" fillId="0" borderId="22" xfId="0" applyFill="1" applyBorder="1" applyAlignment="1" applyProtection="1">
      <alignment horizontal="center" vertical="center"/>
    </xf>
    <xf numFmtId="0" fontId="52" fillId="0" borderId="22" xfId="0" applyFont="1" applyBorder="1" applyAlignment="1" applyProtection="1">
      <alignment horizontal="right" vertical="center" wrapText="1"/>
    </xf>
    <xf numFmtId="0" fontId="50" fillId="2" borderId="42" xfId="0" applyFont="1" applyFill="1" applyBorder="1" applyAlignment="1" applyProtection="1">
      <alignment horizontal="left" vertical="top" wrapText="1" indent="1"/>
    </xf>
    <xf numFmtId="0" fontId="5" fillId="2" borderId="3" xfId="0" applyFont="1" applyFill="1" applyBorder="1" applyAlignment="1" applyProtection="1">
      <alignment horizontal="left" vertical="top" wrapText="1" indent="1"/>
    </xf>
    <xf numFmtId="2" fontId="3" fillId="4" borderId="5" xfId="0" applyNumberFormat="1" applyFont="1" applyFill="1" applyBorder="1" applyProtection="1"/>
    <xf numFmtId="2" fontId="0" fillId="0" borderId="22" xfId="0" applyNumberFormat="1" applyBorder="1" applyAlignment="1" applyProtection="1">
      <alignment horizontal="center" vertical="center"/>
    </xf>
    <xf numFmtId="0" fontId="5" fillId="0" borderId="0" xfId="0" applyFont="1" applyFill="1" applyBorder="1" applyAlignment="1" applyProtection="1">
      <alignment horizontal="left" vertical="top" wrapText="1" indent="1"/>
    </xf>
    <xf numFmtId="0" fontId="0" fillId="0" borderId="0" xfId="0" applyFont="1" applyFill="1" applyBorder="1" applyProtection="1"/>
    <xf numFmtId="0" fontId="0" fillId="0" borderId="0" xfId="0" applyFont="1" applyFill="1" applyBorder="1" applyAlignment="1" applyProtection="1">
      <alignment horizontal="left" vertical="center" wrapText="1" indent="1"/>
    </xf>
    <xf numFmtId="0" fontId="50" fillId="2" borderId="29" xfId="0" applyFont="1" applyFill="1" applyBorder="1" applyAlignment="1" applyProtection="1">
      <alignment horizontal="left" vertical="top" wrapText="1" indent="1"/>
    </xf>
    <xf numFmtId="0" fontId="54" fillId="0" borderId="33" xfId="0" applyFont="1" applyBorder="1" applyAlignment="1" applyProtection="1"/>
    <xf numFmtId="0" fontId="0" fillId="0" borderId="0" xfId="0" applyFill="1" applyBorder="1" applyAlignment="1" applyProtection="1">
      <alignment horizontal="center" vertical="center"/>
    </xf>
    <xf numFmtId="0" fontId="11" fillId="0" borderId="0" xfId="0" applyFont="1" applyFill="1" applyBorder="1" applyProtection="1"/>
    <xf numFmtId="0" fontId="21" fillId="0" borderId="0" xfId="0" applyFont="1" applyFill="1" applyBorder="1" applyProtection="1"/>
    <xf numFmtId="0" fontId="8" fillId="0" borderId="0" xfId="0" applyFont="1" applyBorder="1" applyAlignment="1" applyProtection="1">
      <alignment horizontal="center" vertical="center"/>
    </xf>
    <xf numFmtId="2" fontId="52" fillId="4" borderId="22" xfId="0" applyNumberFormat="1" applyFont="1" applyFill="1" applyBorder="1" applyAlignment="1" applyProtection="1">
      <alignment horizontal="right" indent="1"/>
    </xf>
    <xf numFmtId="0" fontId="11" fillId="0" borderId="0" xfId="0" applyFont="1" applyAlignment="1" applyProtection="1">
      <alignment horizontal="center" vertical="center"/>
    </xf>
    <xf numFmtId="0" fontId="8" fillId="0" borderId="0" xfId="0" applyFont="1" applyFill="1" applyBorder="1" applyAlignment="1" applyProtection="1">
      <alignment horizontal="center" vertical="center"/>
    </xf>
    <xf numFmtId="0" fontId="11" fillId="0" borderId="0" xfId="0" applyFont="1" applyFill="1" applyBorder="1" applyAlignment="1" applyProtection="1">
      <alignment horizontal="center" vertical="center"/>
    </xf>
    <xf numFmtId="2" fontId="52" fillId="4" borderId="24" xfId="0" applyNumberFormat="1" applyFont="1" applyFill="1" applyBorder="1" applyAlignment="1" applyProtection="1">
      <alignment horizontal="right" indent="1"/>
    </xf>
    <xf numFmtId="0" fontId="0" fillId="0" borderId="0" xfId="0" applyFont="1" applyFill="1" applyBorder="1" applyAlignment="1" applyProtection="1">
      <alignment horizontal="center" vertical="center" wrapText="1"/>
    </xf>
    <xf numFmtId="0" fontId="5" fillId="2" borderId="6" xfId="0" applyFont="1" applyFill="1" applyBorder="1" applyAlignment="1" applyProtection="1">
      <alignment horizontal="left" vertical="top" wrapText="1" indent="1"/>
    </xf>
    <xf numFmtId="0" fontId="0" fillId="0" borderId="42" xfId="0" applyBorder="1" applyProtection="1"/>
    <xf numFmtId="0" fontId="0" fillId="0" borderId="22" xfId="0" applyBorder="1" applyAlignment="1" applyProtection="1">
      <alignment horizontal="center" vertical="center"/>
    </xf>
    <xf numFmtId="0" fontId="0" fillId="0" borderId="0" xfId="0" applyFont="1" applyFill="1" applyBorder="1" applyAlignment="1" applyProtection="1">
      <alignment vertical="center" wrapText="1"/>
    </xf>
    <xf numFmtId="0" fontId="2" fillId="0" borderId="5" xfId="0" applyFont="1" applyBorder="1" applyAlignment="1" applyProtection="1">
      <alignment horizontal="center" vertical="center" wrapText="1"/>
    </xf>
    <xf numFmtId="0" fontId="52" fillId="0" borderId="33" xfId="0" applyFont="1" applyFill="1" applyBorder="1" applyAlignment="1" applyProtection="1">
      <alignment horizontal="right" vertical="center" wrapText="1"/>
    </xf>
    <xf numFmtId="0" fontId="21" fillId="0" borderId="0" xfId="0" applyFont="1" applyFill="1" applyBorder="1" applyAlignment="1" applyProtection="1">
      <alignment vertical="center"/>
    </xf>
    <xf numFmtId="0" fontId="0" fillId="0" borderId="0" xfId="0" applyFont="1" applyFill="1" applyBorder="1" applyAlignment="1" applyProtection="1">
      <alignment horizontal="center" vertical="center"/>
    </xf>
    <xf numFmtId="0" fontId="21" fillId="0" borderId="0" xfId="0" applyFont="1" applyBorder="1" applyAlignment="1" applyProtection="1">
      <alignment horizontal="center" vertical="center"/>
    </xf>
    <xf numFmtId="2" fontId="3" fillId="4" borderId="8" xfId="0" applyNumberFormat="1" applyFont="1" applyFill="1" applyBorder="1" applyProtection="1"/>
    <xf numFmtId="0" fontId="17" fillId="0" borderId="0" xfId="0" applyFont="1" applyAlignment="1" applyProtection="1">
      <alignment horizontal="left" indent="1"/>
    </xf>
    <xf numFmtId="0" fontId="54" fillId="0" borderId="33" xfId="0" applyFont="1" applyBorder="1" applyAlignment="1" applyProtection="1">
      <alignment wrapText="1"/>
    </xf>
    <xf numFmtId="2" fontId="2" fillId="4" borderId="22" xfId="0" applyNumberFormat="1" applyFont="1" applyFill="1" applyBorder="1" applyProtection="1"/>
    <xf numFmtId="2" fontId="2" fillId="4" borderId="24" xfId="0" applyNumberFormat="1" applyFont="1" applyFill="1" applyBorder="1" applyProtection="1"/>
    <xf numFmtId="0" fontId="50" fillId="2" borderId="6" xfId="0" applyFont="1" applyFill="1" applyBorder="1" applyAlignment="1" applyProtection="1">
      <alignment horizontal="left" vertical="top" wrapText="1" indent="1"/>
    </xf>
    <xf numFmtId="2" fontId="2" fillId="4" borderId="5" xfId="0" applyNumberFormat="1" applyFont="1" applyFill="1" applyBorder="1" applyProtection="1"/>
    <xf numFmtId="2" fontId="4" fillId="4" borderId="4" xfId="0" applyNumberFormat="1" applyFont="1" applyFill="1" applyBorder="1" applyAlignment="1" applyProtection="1">
      <alignment horizontal="center" vertical="center" wrapText="1"/>
    </xf>
    <xf numFmtId="14" fontId="54" fillId="0" borderId="22" xfId="0" quotePrefix="1" applyNumberFormat="1" applyFont="1" applyBorder="1" applyAlignment="1" applyProtection="1">
      <alignment horizontal="right"/>
      <protection locked="0"/>
    </xf>
    <xf numFmtId="2" fontId="52" fillId="0" borderId="72" xfId="0" applyNumberFormat="1" applyFont="1" applyFill="1" applyBorder="1" applyProtection="1">
      <protection locked="0"/>
    </xf>
    <xf numFmtId="2" fontId="52" fillId="0" borderId="65" xfId="0" applyNumberFormat="1" applyFont="1" applyFill="1" applyBorder="1" applyProtection="1">
      <protection locked="0"/>
    </xf>
    <xf numFmtId="2" fontId="52" fillId="0" borderId="33" xfId="0" applyNumberFormat="1" applyFont="1" applyBorder="1" applyAlignment="1" applyProtection="1">
      <alignment horizontal="right" wrapText="1"/>
      <protection locked="0"/>
    </xf>
    <xf numFmtId="2" fontId="52" fillId="0" borderId="22" xfId="2" applyNumberFormat="1" applyFont="1" applyFill="1" applyBorder="1" applyProtection="1">
      <protection locked="0"/>
    </xf>
    <xf numFmtId="2" fontId="52" fillId="0" borderId="22" xfId="0" applyNumberFormat="1" applyFont="1" applyBorder="1" applyAlignment="1" applyProtection="1">
      <alignment horizontal="right" wrapText="1"/>
      <protection locked="0"/>
    </xf>
    <xf numFmtId="0" fontId="10" fillId="0" borderId="0" xfId="0" applyFont="1" applyFill="1" applyBorder="1" applyAlignment="1" applyProtection="1"/>
    <xf numFmtId="0" fontId="11" fillId="0" borderId="0" xfId="0" quotePrefix="1" applyFont="1" applyAlignment="1" applyProtection="1">
      <alignment horizontal="left" vertical="center" indent="1"/>
    </xf>
    <xf numFmtId="0" fontId="14" fillId="7" borderId="0" xfId="0" applyFont="1" applyFill="1" applyAlignment="1" applyProtection="1">
      <alignment horizontal="left" wrapText="1" indent="1"/>
    </xf>
    <xf numFmtId="0" fontId="23" fillId="0" borderId="0" xfId="0" applyFont="1" applyFill="1" applyBorder="1" applyAlignment="1" applyProtection="1">
      <alignment wrapText="1"/>
    </xf>
    <xf numFmtId="0" fontId="50" fillId="2" borderId="67" xfId="0" applyFont="1" applyFill="1" applyBorder="1" applyAlignment="1" applyProtection="1">
      <alignment horizontal="left" vertical="top" wrapText="1" indent="1"/>
    </xf>
    <xf numFmtId="0" fontId="11" fillId="0" borderId="0" xfId="0" quotePrefix="1" applyFont="1" applyAlignment="1" applyProtection="1">
      <alignment horizontal="left" indent="1"/>
    </xf>
    <xf numFmtId="0" fontId="59" fillId="0" borderId="0" xfId="0" applyFont="1" applyBorder="1" applyAlignment="1" applyProtection="1">
      <alignment vertical="center"/>
    </xf>
    <xf numFmtId="0" fontId="24" fillId="0" borderId="0" xfId="0" applyFont="1" applyBorder="1" applyAlignment="1" applyProtection="1">
      <alignment vertical="center"/>
    </xf>
    <xf numFmtId="0" fontId="50" fillId="2" borderId="69" xfId="0" applyFont="1" applyFill="1" applyBorder="1" applyAlignment="1" applyProtection="1">
      <alignment horizontal="left" vertical="top" wrapText="1" indent="1"/>
    </xf>
    <xf numFmtId="0" fontId="52" fillId="0" borderId="20" xfId="0" applyFont="1" applyBorder="1" applyAlignment="1" applyProtection="1">
      <alignment horizontal="left"/>
    </xf>
    <xf numFmtId="0" fontId="52" fillId="0" borderId="14" xfId="0" applyFont="1" applyBorder="1" applyAlignment="1" applyProtection="1">
      <alignment horizontal="left"/>
    </xf>
    <xf numFmtId="0" fontId="0" fillId="0" borderId="0" xfId="0" applyAlignment="1" applyProtection="1"/>
    <xf numFmtId="0" fontId="58" fillId="0" borderId="0" xfId="0" applyFont="1" applyBorder="1" applyAlignment="1" applyProtection="1"/>
    <xf numFmtId="0" fontId="0" fillId="0" borderId="0" xfId="0" applyBorder="1" applyAlignment="1" applyProtection="1"/>
    <xf numFmtId="0" fontId="50" fillId="2" borderId="52" xfId="0" applyFont="1" applyFill="1" applyBorder="1" applyAlignment="1" applyProtection="1">
      <alignment horizontal="left" vertical="top" wrapText="1" indent="1"/>
    </xf>
    <xf numFmtId="0" fontId="50" fillId="2" borderId="0" xfId="0" applyFont="1" applyFill="1" applyBorder="1" applyAlignment="1" applyProtection="1">
      <alignment horizontal="left" vertical="top" indent="1"/>
    </xf>
    <xf numFmtId="0" fontId="52" fillId="0" borderId="14" xfId="0" applyFont="1" applyBorder="1" applyAlignment="1" applyProtection="1">
      <alignment horizontal="right" vertical="center" wrapText="1"/>
    </xf>
    <xf numFmtId="0" fontId="0" fillId="0" borderId="0" xfId="0" applyBorder="1" applyAlignment="1" applyProtection="1">
      <alignment horizontal="center" vertical="center"/>
    </xf>
    <xf numFmtId="0" fontId="50" fillId="2" borderId="29" xfId="0" applyFont="1" applyFill="1" applyBorder="1" applyAlignment="1" applyProtection="1">
      <alignment horizontal="left" vertical="top" indent="1"/>
    </xf>
    <xf numFmtId="0" fontId="52" fillId="0" borderId="23" xfId="0" applyFont="1" applyBorder="1" applyAlignment="1" applyProtection="1">
      <alignment horizontal="right" vertical="center" wrapText="1"/>
    </xf>
    <xf numFmtId="0" fontId="50" fillId="2" borderId="31" xfId="0" applyFont="1" applyFill="1" applyBorder="1" applyAlignment="1" applyProtection="1">
      <alignment horizontal="left" vertical="top" wrapText="1" indent="1"/>
    </xf>
    <xf numFmtId="0" fontId="50" fillId="2" borderId="29" xfId="0" applyFont="1" applyFill="1" applyBorder="1" applyAlignment="1" applyProtection="1">
      <alignment vertical="top" wrapText="1"/>
    </xf>
    <xf numFmtId="2" fontId="56" fillId="4" borderId="64" xfId="0" applyNumberFormat="1" applyFont="1" applyFill="1" applyBorder="1" applyAlignment="1" applyProtection="1">
      <alignment horizontal="right" indent="1"/>
    </xf>
    <xf numFmtId="0" fontId="0" fillId="0" borderId="24" xfId="0" applyBorder="1" applyAlignment="1" applyProtection="1">
      <alignment horizontal="center" vertical="center"/>
    </xf>
    <xf numFmtId="2" fontId="2" fillId="4" borderId="5" xfId="0" applyNumberFormat="1" applyFont="1" applyFill="1" applyBorder="1" applyAlignment="1" applyProtection="1">
      <alignment horizontal="right" indent="1"/>
    </xf>
    <xf numFmtId="2" fontId="3" fillId="0" borderId="18" xfId="0" applyNumberFormat="1" applyFont="1" applyFill="1" applyBorder="1" applyAlignment="1" applyProtection="1">
      <alignment horizontal="center" vertical="center"/>
    </xf>
    <xf numFmtId="2" fontId="3" fillId="0" borderId="28" xfId="0" applyNumberFormat="1" applyFont="1" applyFill="1" applyBorder="1" applyAlignment="1" applyProtection="1">
      <alignment horizontal="center" vertical="center"/>
    </xf>
    <xf numFmtId="2" fontId="3" fillId="0" borderId="19" xfId="0" applyNumberFormat="1" applyFont="1" applyFill="1" applyBorder="1" applyAlignment="1" applyProtection="1">
      <alignment horizontal="center" vertical="center"/>
    </xf>
    <xf numFmtId="0" fontId="5" fillId="0" borderId="0" xfId="0" applyFont="1" applyFill="1" applyBorder="1" applyAlignment="1" applyProtection="1">
      <alignment horizontal="left" indent="1"/>
    </xf>
    <xf numFmtId="0" fontId="52" fillId="0" borderId="0" xfId="0" applyFont="1" applyFill="1" applyBorder="1" applyProtection="1"/>
    <xf numFmtId="0" fontId="15" fillId="0" borderId="0" xfId="0" applyFont="1" applyFill="1" applyBorder="1" applyAlignment="1" applyProtection="1">
      <alignment horizontal="left" indent="1"/>
    </xf>
    <xf numFmtId="0" fontId="52" fillId="0" borderId="0" xfId="0" applyFont="1" applyFill="1" applyBorder="1" applyAlignment="1" applyProtection="1">
      <alignment horizontal="left"/>
    </xf>
    <xf numFmtId="0" fontId="50" fillId="2" borderId="62" xfId="0" applyFont="1" applyFill="1" applyBorder="1" applyAlignment="1" applyProtection="1">
      <alignment horizontal="left" vertical="top" indent="1"/>
    </xf>
    <xf numFmtId="0" fontId="50" fillId="2" borderId="30" xfId="0" applyFont="1" applyFill="1" applyBorder="1" applyAlignment="1" applyProtection="1">
      <alignment horizontal="left" vertical="top" indent="1"/>
    </xf>
    <xf numFmtId="0" fontId="52" fillId="0" borderId="20" xfId="0" applyFont="1" applyBorder="1" applyAlignment="1" applyProtection="1">
      <alignment horizontal="right" vertical="center" wrapText="1"/>
    </xf>
    <xf numFmtId="0" fontId="11" fillId="0" borderId="0" xfId="0" applyFont="1" applyAlignment="1" applyProtection="1">
      <alignment horizontal="center" vertical="center" wrapText="1"/>
    </xf>
    <xf numFmtId="2" fontId="52" fillId="4" borderId="24" xfId="0" applyNumberFormat="1" applyFont="1" applyFill="1" applyBorder="1" applyAlignment="1" applyProtection="1">
      <alignment horizontal="right" wrapText="1" indent="1"/>
    </xf>
    <xf numFmtId="0" fontId="12" fillId="2" borderId="45" xfId="0" applyFont="1" applyFill="1" applyBorder="1" applyAlignment="1" applyProtection="1">
      <alignment vertical="center" wrapText="1"/>
    </xf>
    <xf numFmtId="0" fontId="50" fillId="2" borderId="31" xfId="0" applyFont="1" applyFill="1" applyBorder="1" applyAlignment="1" applyProtection="1">
      <alignment horizontal="left" vertical="top" indent="1"/>
    </xf>
    <xf numFmtId="0" fontId="0" fillId="0" borderId="0" xfId="0" applyFont="1" applyBorder="1" applyAlignment="1" applyProtection="1">
      <alignment horizontal="center" vertical="center" wrapText="1"/>
    </xf>
    <xf numFmtId="2" fontId="52" fillId="4" borderId="22" xfId="0" applyNumberFormat="1" applyFont="1" applyFill="1" applyBorder="1" applyAlignment="1" applyProtection="1">
      <alignment horizontal="right" wrapText="1" indent="1"/>
    </xf>
    <xf numFmtId="2" fontId="52" fillId="4" borderId="65" xfId="0" applyNumberFormat="1" applyFont="1" applyFill="1" applyBorder="1" applyAlignment="1" applyProtection="1">
      <alignment horizontal="right" wrapText="1" indent="1"/>
    </xf>
    <xf numFmtId="0" fontId="12" fillId="2" borderId="49" xfId="0" applyFont="1" applyFill="1" applyBorder="1" applyAlignment="1" applyProtection="1">
      <alignment vertical="center" wrapText="1"/>
    </xf>
    <xf numFmtId="0" fontId="12" fillId="0" borderId="0" xfId="0" applyFont="1" applyFill="1" applyBorder="1" applyAlignment="1" applyProtection="1">
      <alignment horizontal="left" vertical="center" wrapText="1" indent="1"/>
    </xf>
    <xf numFmtId="0" fontId="16" fillId="0" borderId="0" xfId="0" applyFont="1" applyFill="1" applyBorder="1" applyAlignment="1" applyProtection="1">
      <alignment horizontal="left" wrapText="1" indent="1"/>
    </xf>
    <xf numFmtId="2" fontId="3" fillId="0" borderId="0" xfId="0" applyNumberFormat="1" applyFont="1" applyFill="1" applyBorder="1" applyAlignment="1" applyProtection="1">
      <alignment horizontal="right" indent="1"/>
    </xf>
    <xf numFmtId="0" fontId="2" fillId="0" borderId="8" xfId="0" applyFont="1" applyBorder="1" applyAlignment="1" applyProtection="1">
      <alignment horizontal="center" vertical="center" wrapText="1"/>
    </xf>
    <xf numFmtId="0" fontId="30" fillId="6" borderId="0" xfId="1" applyFont="1" applyFill="1" applyAlignment="1" applyProtection="1">
      <alignment horizontal="center" vertical="center"/>
    </xf>
    <xf numFmtId="2" fontId="7" fillId="4" borderId="4" xfId="0" applyNumberFormat="1" applyFont="1" applyFill="1" applyBorder="1" applyAlignment="1" applyProtection="1">
      <alignment horizontal="center" vertical="center" wrapText="1"/>
    </xf>
    <xf numFmtId="0" fontId="52" fillId="0" borderId="22" xfId="0" applyFont="1" applyFill="1" applyBorder="1" applyAlignment="1" applyProtection="1">
      <alignment horizontal="center" vertical="center" wrapText="1"/>
      <protection locked="0"/>
    </xf>
    <xf numFmtId="0" fontId="21" fillId="0" borderId="0" xfId="0" applyFont="1" applyAlignment="1" applyProtection="1">
      <alignment horizontal="left" vertical="center"/>
    </xf>
    <xf numFmtId="0" fontId="21" fillId="0" borderId="0" xfId="0" applyFont="1" applyFill="1" applyProtection="1"/>
    <xf numFmtId="0" fontId="11" fillId="0" borderId="0" xfId="0" applyFont="1" applyBorder="1" applyProtection="1"/>
    <xf numFmtId="0" fontId="21" fillId="0" borderId="0" xfId="0" applyFont="1" applyBorder="1" applyProtection="1"/>
    <xf numFmtId="0" fontId="0" fillId="0" borderId="0" xfId="0" applyFill="1" applyBorder="1" applyAlignment="1" applyProtection="1">
      <alignment horizontal="right" vertical="center"/>
    </xf>
    <xf numFmtId="0" fontId="0" fillId="0" borderId="0" xfId="0" applyBorder="1" applyAlignment="1" applyProtection="1">
      <alignment vertical="center" wrapText="1"/>
    </xf>
    <xf numFmtId="0" fontId="0" fillId="0" borderId="0" xfId="0" applyBorder="1" applyAlignment="1"/>
    <xf numFmtId="2" fontId="11" fillId="0" borderId="0" xfId="0" applyNumberFormat="1" applyFont="1" applyBorder="1"/>
    <xf numFmtId="8" fontId="11" fillId="0" borderId="0" xfId="0" applyNumberFormat="1" applyFont="1" applyBorder="1"/>
    <xf numFmtId="0" fontId="3" fillId="0" borderId="0" xfId="0" applyFont="1" applyBorder="1"/>
    <xf numFmtId="0" fontId="43" fillId="0" borderId="0" xfId="0" applyFont="1" applyFill="1" applyBorder="1" applyAlignment="1" applyProtection="1">
      <alignment horizontal="center" vertical="center" wrapText="1"/>
    </xf>
    <xf numFmtId="0" fontId="0" fillId="0" borderId="38" xfId="0" applyFill="1" applyBorder="1"/>
    <xf numFmtId="0" fontId="0" fillId="0" borderId="76" xfId="0" applyFill="1" applyBorder="1"/>
    <xf numFmtId="0" fontId="18" fillId="2" borderId="0" xfId="0" applyFont="1" applyFill="1" applyBorder="1" applyAlignment="1" applyProtection="1">
      <alignment horizontal="center" vertical="center"/>
    </xf>
    <xf numFmtId="0" fontId="31" fillId="2" borderId="0" xfId="0" applyFont="1" applyFill="1" applyBorder="1" applyAlignment="1" applyProtection="1">
      <alignment horizontal="center" vertical="center" wrapText="1"/>
    </xf>
    <xf numFmtId="0" fontId="2" fillId="0" borderId="22" xfId="0" applyFont="1" applyBorder="1" applyAlignment="1" applyProtection="1">
      <alignment horizontal="left" vertical="top" wrapText="1"/>
      <protection locked="0"/>
    </xf>
    <xf numFmtId="0" fontId="2" fillId="0" borderId="22" xfId="0" applyFont="1" applyBorder="1" applyAlignment="1" applyProtection="1">
      <alignment horizontal="left" vertical="top"/>
      <protection locked="0"/>
    </xf>
    <xf numFmtId="0" fontId="2" fillId="0" borderId="22" xfId="0" applyFont="1" applyBorder="1" applyAlignment="1" applyProtection="1">
      <alignment horizontal="center" vertical="center"/>
      <protection locked="0"/>
    </xf>
    <xf numFmtId="0" fontId="55" fillId="0" borderId="22" xfId="0" applyFont="1" applyBorder="1" applyAlignment="1" applyProtection="1">
      <alignment horizontal="center" vertical="center"/>
      <protection locked="0"/>
    </xf>
    <xf numFmtId="0" fontId="17" fillId="0" borderId="0" xfId="0" applyFont="1" applyAlignment="1" applyProtection="1">
      <alignment horizontal="center" vertical="center" wrapText="1"/>
    </xf>
    <xf numFmtId="0" fontId="10" fillId="2" borderId="0" xfId="0" applyFont="1" applyFill="1" applyBorder="1" applyAlignment="1" applyProtection="1">
      <alignment horizontal="center" vertical="center" wrapText="1"/>
    </xf>
    <xf numFmtId="0" fontId="63" fillId="0" borderId="6" xfId="0" applyFont="1" applyBorder="1" applyAlignment="1" applyProtection="1">
      <alignment horizontal="center" vertical="center"/>
    </xf>
    <xf numFmtId="0" fontId="63" fillId="0" borderId="7" xfId="0" applyFont="1" applyBorder="1" applyAlignment="1" applyProtection="1">
      <alignment horizontal="center" vertical="center"/>
    </xf>
    <xf numFmtId="0" fontId="63" fillId="0" borderId="8" xfId="0" applyFont="1" applyBorder="1" applyAlignment="1" applyProtection="1">
      <alignment horizontal="center" vertical="center"/>
    </xf>
    <xf numFmtId="0" fontId="0" fillId="0" borderId="0" xfId="0" applyAlignment="1" applyProtection="1">
      <alignment horizontal="center"/>
    </xf>
    <xf numFmtId="0" fontId="29" fillId="4" borderId="18" xfId="0" applyFont="1" applyFill="1" applyBorder="1" applyAlignment="1" applyProtection="1">
      <alignment horizontal="center" vertical="center"/>
    </xf>
    <xf numFmtId="0" fontId="29" fillId="4" borderId="19" xfId="0" applyFont="1" applyFill="1" applyBorder="1" applyAlignment="1" applyProtection="1">
      <alignment horizontal="center" vertical="center"/>
    </xf>
    <xf numFmtId="0" fontId="1" fillId="4" borderId="18" xfId="0" applyFont="1" applyFill="1" applyBorder="1" applyAlignment="1" applyProtection="1">
      <alignment horizontal="center"/>
    </xf>
    <xf numFmtId="0" fontId="1" fillId="4" borderId="19"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8" xfId="0" applyFont="1" applyFill="1" applyBorder="1" applyAlignment="1" applyProtection="1">
      <alignment horizontal="center"/>
    </xf>
    <xf numFmtId="0" fontId="29" fillId="0" borderId="0" xfId="0" applyFont="1" applyBorder="1" applyAlignment="1" applyProtection="1">
      <alignment horizontal="center" vertical="center"/>
    </xf>
    <xf numFmtId="0" fontId="65" fillId="2" borderId="0" xfId="0" applyFont="1" applyFill="1" applyBorder="1" applyAlignment="1" applyProtection="1">
      <alignment horizontal="left" wrapText="1" indent="1"/>
    </xf>
    <xf numFmtId="0" fontId="65" fillId="2" borderId="70" xfId="0" applyFont="1" applyFill="1" applyBorder="1" applyAlignment="1" applyProtection="1">
      <alignment horizontal="left" wrapText="1" indent="1"/>
    </xf>
    <xf numFmtId="0" fontId="65" fillId="2" borderId="42" xfId="0" applyFont="1" applyFill="1" applyBorder="1" applyAlignment="1" applyProtection="1">
      <alignment horizontal="left" wrapText="1"/>
    </xf>
    <xf numFmtId="0" fontId="65" fillId="2" borderId="44" xfId="0" applyFont="1" applyFill="1" applyBorder="1" applyAlignment="1" applyProtection="1">
      <alignment horizontal="left" wrapText="1"/>
    </xf>
    <xf numFmtId="0" fontId="10" fillId="2" borderId="70" xfId="0" applyFont="1" applyFill="1" applyBorder="1" applyAlignment="1" applyProtection="1">
      <alignment horizontal="center" vertical="center" wrapText="1"/>
    </xf>
    <xf numFmtId="0" fontId="65" fillId="2" borderId="42" xfId="0" applyFont="1" applyFill="1" applyBorder="1" applyAlignment="1" applyProtection="1">
      <alignment horizontal="left" wrapText="1" indent="1"/>
    </xf>
    <xf numFmtId="0" fontId="65" fillId="2" borderId="44" xfId="0" applyFont="1" applyFill="1" applyBorder="1" applyAlignment="1" applyProtection="1">
      <alignment horizontal="left" wrapText="1" indent="1"/>
    </xf>
    <xf numFmtId="0" fontId="22" fillId="2" borderId="42" xfId="0" applyFont="1" applyFill="1" applyBorder="1" applyAlignment="1" applyProtection="1">
      <alignment horizontal="left" wrapText="1" indent="1"/>
    </xf>
    <xf numFmtId="0" fontId="22" fillId="2" borderId="0" xfId="0" applyFont="1" applyFill="1" applyBorder="1" applyAlignment="1" applyProtection="1">
      <alignment horizontal="left" wrapText="1" indent="1"/>
    </xf>
    <xf numFmtId="0" fontId="18" fillId="2" borderId="2" xfId="0" applyFont="1" applyFill="1" applyBorder="1" applyAlignment="1" applyProtection="1">
      <alignment horizontal="center"/>
    </xf>
    <xf numFmtId="0" fontId="18" fillId="2" borderId="0" xfId="0" applyFont="1" applyFill="1" applyBorder="1" applyAlignment="1" applyProtection="1">
      <alignment horizontal="center"/>
    </xf>
    <xf numFmtId="0" fontId="27" fillId="0" borderId="6" xfId="0" applyFont="1" applyBorder="1" applyAlignment="1" applyProtection="1">
      <alignment horizontal="left" vertical="center" wrapText="1"/>
    </xf>
    <xf numFmtId="0" fontId="27" fillId="0" borderId="7" xfId="0" applyFont="1" applyBorder="1" applyAlignment="1" applyProtection="1">
      <alignment horizontal="left" vertical="center" wrapText="1"/>
    </xf>
    <xf numFmtId="0" fontId="27" fillId="0" borderId="8" xfId="0" applyFont="1" applyBorder="1" applyAlignment="1" applyProtection="1">
      <alignment horizontal="left" vertical="center" wrapText="1"/>
    </xf>
    <xf numFmtId="0" fontId="29" fillId="4" borderId="6" xfId="0" applyFont="1" applyFill="1" applyBorder="1" applyAlignment="1" applyProtection="1">
      <alignment horizontal="center" vertical="center"/>
    </xf>
    <xf numFmtId="0" fontId="29" fillId="4" borderId="7" xfId="0" applyFont="1" applyFill="1" applyBorder="1" applyAlignment="1" applyProtection="1">
      <alignment horizontal="center" vertical="center"/>
    </xf>
    <xf numFmtId="0" fontId="29" fillId="4" borderId="8" xfId="0" applyFont="1" applyFill="1" applyBorder="1" applyAlignment="1" applyProtection="1">
      <alignment horizontal="center" vertical="center"/>
    </xf>
    <xf numFmtId="0" fontId="44" fillId="0" borderId="0" xfId="0" applyFont="1" applyBorder="1" applyAlignment="1" applyProtection="1">
      <alignment horizontal="center" vertical="center"/>
    </xf>
    <xf numFmtId="0" fontId="45" fillId="0" borderId="18" xfId="0" applyFont="1" applyBorder="1" applyAlignment="1" applyProtection="1">
      <alignment horizontal="center" vertical="center" wrapText="1"/>
    </xf>
    <xf numFmtId="0" fontId="45" fillId="0" borderId="28" xfId="0" applyFont="1" applyBorder="1" applyAlignment="1" applyProtection="1">
      <alignment horizontal="center" vertical="center" wrapText="1"/>
    </xf>
    <xf numFmtId="0" fontId="45" fillId="0" borderId="19" xfId="0" applyFont="1" applyBorder="1" applyAlignment="1" applyProtection="1">
      <alignment horizontal="center" vertical="center" wrapText="1"/>
    </xf>
    <xf numFmtId="0" fontId="27" fillId="0" borderId="6" xfId="0" applyFont="1" applyBorder="1" applyAlignment="1" applyProtection="1">
      <alignment horizontal="center" vertical="center" wrapText="1"/>
    </xf>
    <xf numFmtId="0" fontId="27" fillId="0" borderId="7" xfId="0" applyFont="1" applyBorder="1" applyAlignment="1" applyProtection="1">
      <alignment horizontal="center" vertical="center" wrapText="1"/>
    </xf>
    <xf numFmtId="0" fontId="45" fillId="0" borderId="45" xfId="0" applyFont="1" applyBorder="1" applyAlignment="1" applyProtection="1">
      <alignment horizontal="center" vertical="center" wrapText="1"/>
    </xf>
    <xf numFmtId="0" fontId="45" fillId="0" borderId="66" xfId="0" applyFont="1" applyBorder="1" applyAlignment="1" applyProtection="1">
      <alignment horizontal="center" vertical="center" wrapText="1"/>
    </xf>
    <xf numFmtId="0" fontId="45" fillId="0" borderId="41" xfId="0" applyFont="1" applyBorder="1" applyAlignment="1" applyProtection="1">
      <alignment horizontal="center" vertical="center" wrapText="1"/>
    </xf>
    <xf numFmtId="0" fontId="18" fillId="2" borderId="2" xfId="0" applyFont="1" applyFill="1" applyBorder="1" applyAlignment="1" applyProtection="1">
      <alignment horizontal="center"/>
      <protection hidden="1"/>
    </xf>
    <xf numFmtId="0" fontId="18" fillId="2" borderId="0" xfId="0" applyFont="1" applyFill="1" applyBorder="1" applyAlignment="1" applyProtection="1">
      <alignment horizontal="center"/>
      <protection hidden="1"/>
    </xf>
    <xf numFmtId="0" fontId="52" fillId="0" borderId="22" xfId="0" applyFont="1" applyBorder="1" applyAlignment="1" applyProtection="1">
      <alignment horizontal="left" wrapText="1"/>
      <protection hidden="1"/>
    </xf>
    <xf numFmtId="0" fontId="52" fillId="0" borderId="20" xfId="0" applyFont="1" applyBorder="1" applyAlignment="1" applyProtection="1">
      <alignment horizontal="left" vertical="center" wrapText="1"/>
      <protection hidden="1"/>
    </xf>
    <xf numFmtId="0" fontId="52" fillId="0" borderId="14" xfId="0" applyFont="1" applyBorder="1" applyAlignment="1" applyProtection="1">
      <alignment horizontal="left" vertical="center" wrapText="1"/>
      <protection hidden="1"/>
    </xf>
    <xf numFmtId="0" fontId="52" fillId="0" borderId="20" xfId="0" applyFont="1" applyBorder="1" applyAlignment="1" applyProtection="1">
      <alignment horizontal="left" wrapText="1"/>
      <protection hidden="1"/>
    </xf>
    <xf numFmtId="0" fontId="52" fillId="0" borderId="14" xfId="0" applyFont="1" applyBorder="1" applyAlignment="1" applyProtection="1">
      <alignment horizontal="left" wrapText="1"/>
      <protection hidden="1"/>
    </xf>
    <xf numFmtId="0" fontId="29" fillId="0" borderId="35" xfId="0" applyFont="1" applyBorder="1" applyAlignment="1" applyProtection="1">
      <alignment horizontal="center" vertical="center"/>
      <protection hidden="1"/>
    </xf>
    <xf numFmtId="0" fontId="29" fillId="0" borderId="8" xfId="0" applyFont="1" applyBorder="1" applyAlignment="1" applyProtection="1">
      <alignment horizontal="center" vertical="center"/>
      <protection hidden="1"/>
    </xf>
    <xf numFmtId="0" fontId="52" fillId="0" borderId="24" xfId="0" applyFont="1" applyBorder="1" applyAlignment="1" applyProtection="1">
      <alignment horizontal="left" wrapText="1"/>
      <protection hidden="1"/>
    </xf>
    <xf numFmtId="0" fontId="8" fillId="0" borderId="0" xfId="0" applyFont="1" applyBorder="1" applyAlignment="1" applyProtection="1">
      <alignment horizontal="center" vertical="center"/>
      <protection hidden="1"/>
    </xf>
    <xf numFmtId="0" fontId="52" fillId="0" borderId="22" xfId="0" applyFont="1" applyBorder="1" applyAlignment="1" applyProtection="1">
      <alignment horizontal="center" vertical="center" wrapText="1"/>
      <protection locked="0" hidden="1"/>
    </xf>
    <xf numFmtId="0" fontId="29" fillId="4" borderId="6" xfId="0" applyFont="1" applyFill="1" applyBorder="1" applyAlignment="1" applyProtection="1">
      <alignment horizontal="center" vertical="center"/>
      <protection hidden="1"/>
    </xf>
    <xf numFmtId="0" fontId="29" fillId="4" borderId="7" xfId="0" applyFont="1" applyFill="1" applyBorder="1" applyAlignment="1" applyProtection="1">
      <alignment horizontal="center" vertical="center"/>
      <protection hidden="1"/>
    </xf>
    <xf numFmtId="0" fontId="29" fillId="4" borderId="8" xfId="0" applyFont="1" applyFill="1" applyBorder="1" applyAlignment="1" applyProtection="1">
      <alignment horizontal="center" vertical="center"/>
      <protection hidden="1"/>
    </xf>
    <xf numFmtId="0" fontId="24" fillId="0" borderId="32" xfId="0" applyFont="1" applyFill="1" applyBorder="1" applyAlignment="1" applyProtection="1">
      <alignment horizontal="center" vertical="center" wrapText="1"/>
      <protection hidden="1"/>
    </xf>
    <xf numFmtId="0" fontId="51" fillId="0" borderId="22" xfId="0" applyFont="1" applyFill="1" applyBorder="1" applyAlignment="1" applyProtection="1">
      <alignment horizontal="center" vertical="center"/>
      <protection locked="0" hidden="1"/>
    </xf>
    <xf numFmtId="0" fontId="51" fillId="0" borderId="20" xfId="0" applyFont="1" applyFill="1" applyBorder="1" applyAlignment="1" applyProtection="1">
      <alignment horizontal="center" vertical="center"/>
      <protection locked="0" hidden="1"/>
    </xf>
    <xf numFmtId="0" fontId="51" fillId="0" borderId="23" xfId="0" applyFont="1" applyFill="1" applyBorder="1" applyAlignment="1" applyProtection="1">
      <alignment horizontal="center" vertical="center"/>
      <protection locked="0" hidden="1"/>
    </xf>
    <xf numFmtId="0" fontId="51" fillId="0" borderId="14" xfId="0" applyFont="1" applyFill="1" applyBorder="1" applyAlignment="1" applyProtection="1">
      <alignment horizontal="center" vertical="center"/>
      <protection locked="0" hidden="1"/>
    </xf>
    <xf numFmtId="0" fontId="0" fillId="0" borderId="3" xfId="0" applyFont="1" applyBorder="1" applyAlignment="1" applyProtection="1">
      <alignment horizontal="center" vertical="center" wrapText="1"/>
      <protection hidden="1"/>
    </xf>
    <xf numFmtId="0" fontId="0" fillId="0" borderId="40" xfId="0" applyFont="1" applyBorder="1" applyAlignment="1" applyProtection="1">
      <alignment horizontal="center" vertical="center" wrapText="1"/>
      <protection hidden="1"/>
    </xf>
    <xf numFmtId="0" fontId="9" fillId="0" borderId="6" xfId="0" applyFont="1" applyBorder="1" applyAlignment="1" applyProtection="1">
      <alignment horizontal="center" vertical="center" wrapText="1"/>
      <protection hidden="1"/>
    </xf>
    <xf numFmtId="0" fontId="9" fillId="0" borderId="8" xfId="0" applyFont="1" applyBorder="1" applyAlignment="1" applyProtection="1">
      <alignment horizontal="center" vertical="center" wrapText="1"/>
      <protection hidden="1"/>
    </xf>
    <xf numFmtId="0" fontId="52" fillId="0" borderId="27" xfId="0" applyFont="1" applyFill="1" applyBorder="1" applyAlignment="1" applyProtection="1">
      <alignment horizontal="left" vertical="center" wrapText="1"/>
      <protection hidden="1"/>
    </xf>
    <xf numFmtId="0" fontId="52" fillId="0" borderId="16" xfId="0" applyFont="1" applyFill="1" applyBorder="1" applyAlignment="1" applyProtection="1">
      <alignment horizontal="left" vertical="center" wrapText="1"/>
      <protection hidden="1"/>
    </xf>
    <xf numFmtId="0" fontId="23" fillId="2" borderId="0" xfId="0" applyFont="1" applyFill="1" applyBorder="1" applyAlignment="1" applyProtection="1">
      <alignment horizontal="center" wrapText="1"/>
      <protection hidden="1"/>
    </xf>
    <xf numFmtId="0" fontId="35" fillId="0" borderId="6" xfId="0" applyFont="1" applyBorder="1" applyAlignment="1" applyProtection="1">
      <alignment horizontal="center" vertical="center" wrapText="1"/>
      <protection hidden="1"/>
    </xf>
    <xf numFmtId="0" fontId="35" fillId="0" borderId="7" xfId="0" applyFont="1" applyBorder="1" applyAlignment="1" applyProtection="1">
      <alignment horizontal="center" vertical="center" wrapText="1"/>
      <protection hidden="1"/>
    </xf>
    <xf numFmtId="0" fontId="35" fillId="0" borderId="8" xfId="0" applyFont="1" applyBorder="1" applyAlignment="1" applyProtection="1">
      <alignment horizontal="center" vertical="center" wrapText="1"/>
      <protection hidden="1"/>
    </xf>
    <xf numFmtId="0" fontId="0" fillId="0" borderId="22" xfId="0" applyBorder="1" applyAlignment="1" applyProtection="1">
      <alignment horizontal="center"/>
    </xf>
    <xf numFmtId="0" fontId="24" fillId="0" borderId="20" xfId="0" applyFont="1" applyFill="1" applyBorder="1" applyAlignment="1" applyProtection="1">
      <alignment horizontal="center" vertical="center"/>
      <protection locked="0"/>
    </xf>
    <xf numFmtId="0" fontId="24" fillId="0" borderId="14" xfId="0" applyFont="1" applyFill="1" applyBorder="1" applyAlignment="1" applyProtection="1">
      <alignment horizontal="center" vertical="center"/>
      <protection locked="0"/>
    </xf>
    <xf numFmtId="0" fontId="22" fillId="2" borderId="32" xfId="0" applyFont="1" applyFill="1" applyBorder="1" applyAlignment="1" applyProtection="1">
      <alignment horizontal="center" vertical="center" wrapText="1"/>
    </xf>
    <xf numFmtId="0" fontId="50" fillId="2" borderId="29" xfId="0" applyFont="1" applyFill="1" applyBorder="1" applyAlignment="1" applyProtection="1">
      <alignment horizontal="left" vertical="top" wrapText="1" indent="1"/>
    </xf>
    <xf numFmtId="0" fontId="50" fillId="2" borderId="30" xfId="0" applyFont="1" applyFill="1" applyBorder="1" applyAlignment="1" applyProtection="1">
      <alignment horizontal="left" vertical="top" wrapText="1" indent="1"/>
    </xf>
    <xf numFmtId="0" fontId="54" fillId="0" borderId="3" xfId="0" applyFont="1" applyBorder="1" applyAlignment="1" applyProtection="1">
      <alignment horizontal="center" vertical="center" wrapText="1"/>
    </xf>
    <xf numFmtId="0" fontId="54" fillId="0" borderId="40" xfId="0" applyFont="1" applyBorder="1" applyAlignment="1" applyProtection="1">
      <alignment horizontal="center" vertical="center" wrapText="1"/>
    </xf>
    <xf numFmtId="0" fontId="54" fillId="0" borderId="4" xfId="0" applyFont="1" applyBorder="1" applyAlignment="1" applyProtection="1">
      <alignment horizontal="center" vertical="center" wrapText="1"/>
    </xf>
    <xf numFmtId="0" fontId="52" fillId="0" borderId="33" xfId="0" applyFont="1" applyBorder="1" applyAlignment="1" applyProtection="1">
      <alignment horizontal="left" vertical="center" wrapText="1"/>
    </xf>
    <xf numFmtId="0" fontId="52" fillId="0" borderId="22" xfId="0" applyFont="1" applyBorder="1" applyAlignment="1" applyProtection="1">
      <alignment horizontal="left" vertical="center" wrapText="1"/>
    </xf>
    <xf numFmtId="0" fontId="0" fillId="0" borderId="18" xfId="0" applyFont="1" applyBorder="1" applyAlignment="1" applyProtection="1">
      <alignment horizontal="center" vertical="center" wrapText="1"/>
    </xf>
    <xf numFmtId="0" fontId="0" fillId="0" borderId="28" xfId="0" applyFont="1" applyBorder="1" applyAlignment="1" applyProtection="1">
      <alignment horizontal="center" vertical="center" wrapText="1"/>
    </xf>
    <xf numFmtId="0" fontId="0" fillId="0" borderId="35" xfId="0" applyFont="1" applyBorder="1" applyAlignment="1" applyProtection="1">
      <alignment horizontal="center" vertical="center" wrapText="1"/>
    </xf>
    <xf numFmtId="0" fontId="28" fillId="0" borderId="6" xfId="0" applyFont="1" applyBorder="1" applyAlignment="1" applyProtection="1">
      <alignment horizontal="center" vertical="center" wrapText="1"/>
    </xf>
    <xf numFmtId="0" fontId="7" fillId="0" borderId="7" xfId="0" applyFont="1" applyBorder="1" applyAlignment="1" applyProtection="1">
      <alignment horizontal="center" vertical="center" wrapText="1"/>
    </xf>
    <xf numFmtId="0" fontId="7" fillId="0" borderId="8"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9" fillId="0" borderId="7" xfId="0" applyFont="1" applyBorder="1" applyAlignment="1" applyProtection="1">
      <alignment horizontal="center" vertical="center" wrapText="1"/>
    </xf>
    <xf numFmtId="0" fontId="9" fillId="0" borderId="8" xfId="0" applyFont="1" applyBorder="1" applyAlignment="1" applyProtection="1">
      <alignment horizontal="center" vertical="center" wrapText="1"/>
    </xf>
    <xf numFmtId="0" fontId="54" fillId="0" borderId="27" xfId="0" quotePrefix="1" applyNumberFormat="1" applyFont="1" applyBorder="1" applyAlignment="1" applyProtection="1">
      <alignment horizontal="center"/>
      <protection locked="0"/>
    </xf>
    <xf numFmtId="0" fontId="54" fillId="0" borderId="32" xfId="0" quotePrefix="1" applyNumberFormat="1" applyFont="1" applyBorder="1" applyAlignment="1" applyProtection="1">
      <alignment horizontal="center"/>
      <protection locked="0"/>
    </xf>
    <xf numFmtId="0" fontId="54" fillId="0" borderId="16" xfId="0" quotePrefix="1" applyNumberFormat="1" applyFont="1" applyBorder="1" applyAlignment="1" applyProtection="1">
      <alignment horizontal="center"/>
      <protection locked="0"/>
    </xf>
    <xf numFmtId="0" fontId="52" fillId="0" borderId="22" xfId="0" applyFont="1" applyBorder="1" applyAlignment="1" applyProtection="1">
      <alignment horizontal="left" indent="1"/>
    </xf>
    <xf numFmtId="0" fontId="52" fillId="0" borderId="22" xfId="0" applyFont="1" applyBorder="1" applyAlignment="1" applyProtection="1">
      <alignment horizontal="left" wrapText="1" indent="1"/>
    </xf>
    <xf numFmtId="0" fontId="2" fillId="0" borderId="22" xfId="0" applyFont="1" applyBorder="1" applyAlignment="1" applyProtection="1">
      <alignment horizontal="left" wrapText="1" indent="1"/>
    </xf>
    <xf numFmtId="0" fontId="52" fillId="0" borderId="43" xfId="0" applyFont="1" applyFill="1" applyBorder="1" applyAlignment="1" applyProtection="1">
      <alignment horizontal="center" vertical="center" wrapText="1"/>
      <protection locked="0"/>
    </xf>
    <xf numFmtId="0" fontId="52" fillId="0" borderId="36" xfId="0" applyFont="1" applyFill="1" applyBorder="1" applyAlignment="1" applyProtection="1">
      <alignment horizontal="center" vertical="center" wrapText="1"/>
      <protection locked="0"/>
    </xf>
    <xf numFmtId="0" fontId="50" fillId="2" borderId="58" xfId="0" applyFont="1" applyFill="1" applyBorder="1" applyAlignment="1" applyProtection="1">
      <alignment horizontal="left" vertical="top" wrapText="1" indent="1"/>
    </xf>
    <xf numFmtId="0" fontId="0" fillId="0" borderId="0" xfId="0" applyFont="1" applyFill="1" applyBorder="1" applyAlignment="1" applyProtection="1">
      <alignment horizontal="left" vertical="center" wrapText="1" indent="1"/>
    </xf>
    <xf numFmtId="0" fontId="13" fillId="0" borderId="27" xfId="0" applyFont="1" applyBorder="1" applyAlignment="1" applyProtection="1">
      <alignment horizontal="center" vertical="center" wrapText="1"/>
    </xf>
    <xf numFmtId="0" fontId="13" fillId="0" borderId="32" xfId="0" applyFont="1" applyBorder="1" applyAlignment="1" applyProtection="1">
      <alignment horizontal="center" vertical="center" wrapText="1"/>
    </xf>
    <xf numFmtId="0" fontId="13" fillId="0" borderId="16" xfId="0" applyFont="1" applyBorder="1" applyAlignment="1" applyProtection="1">
      <alignment horizontal="center" vertical="center" wrapText="1"/>
    </xf>
    <xf numFmtId="0" fontId="54" fillId="0" borderId="22" xfId="0" applyFont="1" applyBorder="1" applyAlignment="1" applyProtection="1">
      <alignment horizontal="left" indent="1"/>
    </xf>
    <xf numFmtId="0" fontId="52" fillId="0" borderId="22" xfId="0" applyFont="1" applyBorder="1" applyAlignment="1" applyProtection="1">
      <alignment horizontal="center" vertical="center" wrapText="1"/>
      <protection locked="0"/>
    </xf>
    <xf numFmtId="0" fontId="52" fillId="0" borderId="33" xfId="0" applyFont="1" applyBorder="1" applyAlignment="1" applyProtection="1">
      <alignment vertical="top" wrapText="1"/>
    </xf>
    <xf numFmtId="0" fontId="52" fillId="0" borderId="22" xfId="0" applyFont="1" applyBorder="1" applyAlignment="1" applyProtection="1">
      <alignment vertical="top" wrapText="1"/>
    </xf>
    <xf numFmtId="0" fontId="55" fillId="0" borderId="6" xfId="0" applyFont="1" applyBorder="1" applyAlignment="1" applyProtection="1">
      <alignment horizontal="center" vertical="center" wrapText="1"/>
    </xf>
    <xf numFmtId="0" fontId="55" fillId="0" borderId="7" xfId="0" applyFont="1" applyBorder="1" applyAlignment="1" applyProtection="1">
      <alignment horizontal="center" vertical="center" wrapText="1"/>
    </xf>
    <xf numFmtId="0" fontId="55" fillId="0" borderId="8" xfId="0" applyFont="1" applyBorder="1" applyAlignment="1" applyProtection="1">
      <alignment horizontal="center" vertical="center" wrapText="1"/>
    </xf>
    <xf numFmtId="0" fontId="50" fillId="2" borderId="0" xfId="0" applyFont="1" applyFill="1" applyBorder="1" applyAlignment="1" applyProtection="1">
      <alignment horizontal="left" vertical="top" wrapText="1" indent="1"/>
    </xf>
    <xf numFmtId="0" fontId="50" fillId="2" borderId="42" xfId="0" applyFont="1" applyFill="1" applyBorder="1" applyAlignment="1" applyProtection="1">
      <alignment horizontal="left" vertical="top" wrapText="1" indent="1"/>
    </xf>
    <xf numFmtId="0" fontId="54" fillId="0" borderId="43" xfId="0" quotePrefix="1" applyNumberFormat="1" applyFont="1" applyBorder="1" applyAlignment="1" applyProtection="1">
      <alignment horizontal="center"/>
      <protection locked="0"/>
    </xf>
    <xf numFmtId="0" fontId="54" fillId="0" borderId="56" xfId="0" quotePrefix="1" applyNumberFormat="1" applyFont="1" applyBorder="1" applyAlignment="1" applyProtection="1">
      <alignment horizontal="center"/>
      <protection locked="0"/>
    </xf>
    <xf numFmtId="0" fontId="54" fillId="0" borderId="36" xfId="0" quotePrefix="1" applyNumberFormat="1" applyFont="1" applyBorder="1" applyAlignment="1" applyProtection="1">
      <alignment horizontal="center"/>
      <protection locked="0"/>
    </xf>
    <xf numFmtId="0" fontId="50" fillId="2" borderId="29" xfId="0" applyFont="1" applyFill="1" applyBorder="1" applyAlignment="1" applyProtection="1">
      <alignment horizontal="center" vertical="top" wrapText="1"/>
    </xf>
    <xf numFmtId="0" fontId="50" fillId="2" borderId="58" xfId="0" applyFont="1" applyFill="1" applyBorder="1" applyAlignment="1" applyProtection="1">
      <alignment horizontal="center" vertical="top" wrapText="1"/>
    </xf>
    <xf numFmtId="0" fontId="8" fillId="0" borderId="0" xfId="0" applyFont="1" applyBorder="1" applyAlignment="1" applyProtection="1">
      <alignment horizontal="center" vertical="center"/>
    </xf>
    <xf numFmtId="0" fontId="7" fillId="0" borderId="6" xfId="0" applyFont="1" applyBorder="1" applyAlignment="1" applyProtection="1">
      <alignment horizontal="center" vertical="center" wrapText="1"/>
    </xf>
    <xf numFmtId="0" fontId="54" fillId="0" borderId="33" xfId="0" applyFont="1" applyBorder="1" applyAlignment="1" applyProtection="1">
      <alignment horizontal="left" indent="1"/>
    </xf>
    <xf numFmtId="0" fontId="7" fillId="0" borderId="6" xfId="0" applyFont="1" applyBorder="1" applyAlignment="1" applyProtection="1">
      <alignment horizontal="center" vertical="center"/>
    </xf>
    <xf numFmtId="0" fontId="7" fillId="0" borderId="7" xfId="0" applyFont="1" applyBorder="1" applyAlignment="1" applyProtection="1">
      <alignment horizontal="center" vertical="center"/>
    </xf>
    <xf numFmtId="0" fontId="2" fillId="0" borderId="6" xfId="0" applyFont="1" applyBorder="1" applyAlignment="1" applyProtection="1">
      <alignment horizontal="center" vertical="center" wrapText="1"/>
    </xf>
    <xf numFmtId="0" fontId="2" fillId="0" borderId="7" xfId="0" applyFont="1" applyBorder="1" applyAlignment="1" applyProtection="1">
      <alignment horizontal="center" vertical="center" wrapText="1"/>
    </xf>
    <xf numFmtId="0" fontId="52" fillId="0" borderId="21" xfId="0" applyFont="1" applyFill="1" applyBorder="1" applyAlignment="1" applyProtection="1">
      <alignment horizontal="center" vertical="center" wrapText="1"/>
      <protection locked="0"/>
    </xf>
    <xf numFmtId="0" fontId="52" fillId="0" borderId="15" xfId="0" applyFont="1" applyFill="1" applyBorder="1" applyAlignment="1" applyProtection="1">
      <alignment horizontal="center" vertical="center" wrapText="1"/>
      <protection locked="0"/>
    </xf>
    <xf numFmtId="0" fontId="29" fillId="4" borderId="28" xfId="0" applyFont="1" applyFill="1" applyBorder="1" applyAlignment="1" applyProtection="1">
      <alignment horizontal="center" vertical="center"/>
    </xf>
    <xf numFmtId="0" fontId="23" fillId="2" borderId="2" xfId="0" applyFont="1" applyFill="1" applyBorder="1" applyAlignment="1" applyProtection="1">
      <alignment horizontal="center" wrapText="1"/>
    </xf>
    <xf numFmtId="0" fontId="23" fillId="2" borderId="0" xfId="0" applyFont="1" applyFill="1" applyBorder="1" applyAlignment="1" applyProtection="1">
      <alignment horizontal="center" wrapText="1"/>
    </xf>
    <xf numFmtId="0" fontId="2" fillId="0" borderId="8" xfId="0" applyFont="1" applyBorder="1" applyAlignment="1" applyProtection="1">
      <alignment horizontal="center" vertical="center" wrapText="1"/>
    </xf>
    <xf numFmtId="0" fontId="52" fillId="0" borderId="20" xfId="0" applyFont="1" applyBorder="1" applyAlignment="1" applyProtection="1">
      <alignment horizontal="left"/>
    </xf>
    <xf numFmtId="0" fontId="52" fillId="0" borderId="14" xfId="0" applyFont="1" applyBorder="1" applyAlignment="1" applyProtection="1">
      <alignment horizontal="left"/>
    </xf>
    <xf numFmtId="0" fontId="2" fillId="0" borderId="20" xfId="0" applyFont="1" applyBorder="1" applyAlignment="1" applyProtection="1">
      <alignment horizontal="left" wrapText="1"/>
    </xf>
    <xf numFmtId="0" fontId="52" fillId="0" borderId="14" xfId="0" applyFont="1" applyBorder="1" applyAlignment="1" applyProtection="1">
      <alignment horizontal="left" wrapText="1"/>
    </xf>
    <xf numFmtId="0" fontId="52" fillId="0" borderId="22" xfId="0" applyFont="1" applyBorder="1" applyAlignment="1" applyProtection="1">
      <alignment horizontal="left" wrapText="1"/>
    </xf>
    <xf numFmtId="0" fontId="52" fillId="0" borderId="20" xfId="0" applyFont="1" applyBorder="1" applyAlignment="1" applyProtection="1">
      <alignment horizontal="center" vertical="center" wrapText="1"/>
      <protection locked="0"/>
    </xf>
    <xf numFmtId="0" fontId="52" fillId="0" borderId="14" xfId="0" applyFont="1" applyBorder="1" applyAlignment="1" applyProtection="1">
      <alignment horizontal="center" vertical="center" wrapText="1"/>
      <protection locked="0"/>
    </xf>
    <xf numFmtId="0" fontId="52" fillId="0" borderId="23" xfId="0" applyFont="1" applyBorder="1" applyAlignment="1" applyProtection="1">
      <alignment horizontal="left" vertical="center" wrapText="1"/>
    </xf>
    <xf numFmtId="0" fontId="52" fillId="0" borderId="14" xfId="0" applyFont="1" applyBorder="1" applyAlignment="1" applyProtection="1">
      <alignment horizontal="left" vertical="center" wrapText="1"/>
    </xf>
    <xf numFmtId="0" fontId="52" fillId="0" borderId="22" xfId="0" applyFont="1" applyFill="1" applyBorder="1" applyAlignment="1" applyProtection="1">
      <alignment horizontal="left" vertical="center" wrapText="1"/>
    </xf>
    <xf numFmtId="0" fontId="34" fillId="4" borderId="18" xfId="0" applyFont="1" applyFill="1" applyBorder="1" applyAlignment="1" applyProtection="1">
      <alignment horizontal="center" vertical="center"/>
    </xf>
    <xf numFmtId="0" fontId="34" fillId="4" borderId="28" xfId="0" applyFont="1" applyFill="1" applyBorder="1" applyAlignment="1" applyProtection="1">
      <alignment horizontal="center" vertical="center"/>
    </xf>
    <xf numFmtId="0" fontId="34" fillId="4" borderId="19" xfId="0" applyFont="1" applyFill="1" applyBorder="1" applyAlignment="1" applyProtection="1">
      <alignment horizontal="center" vertical="center"/>
    </xf>
    <xf numFmtId="0" fontId="19" fillId="0" borderId="1" xfId="0" applyFont="1" applyBorder="1" applyAlignment="1" applyProtection="1">
      <alignment horizontal="center" vertical="center"/>
      <protection locked="0"/>
    </xf>
    <xf numFmtId="0" fontId="19" fillId="0" borderId="50" xfId="0" applyFont="1" applyBorder="1" applyAlignment="1" applyProtection="1">
      <alignment horizontal="center" vertical="center"/>
      <protection locked="0"/>
    </xf>
    <xf numFmtId="0" fontId="32" fillId="4" borderId="68" xfId="0" applyFont="1" applyFill="1" applyBorder="1" applyAlignment="1" applyProtection="1">
      <alignment horizontal="center" vertical="center"/>
    </xf>
    <xf numFmtId="0" fontId="32" fillId="4" borderId="28" xfId="0" applyFont="1" applyFill="1" applyBorder="1" applyAlignment="1" applyProtection="1">
      <alignment horizontal="center" vertical="center"/>
    </xf>
    <xf numFmtId="0" fontId="32" fillId="4" borderId="19" xfId="0" applyFont="1" applyFill="1" applyBorder="1" applyAlignment="1" applyProtection="1">
      <alignment horizontal="center" vertical="center"/>
    </xf>
    <xf numFmtId="0" fontId="50" fillId="2" borderId="31" xfId="0" applyFont="1" applyFill="1" applyBorder="1" applyAlignment="1" applyProtection="1">
      <alignment horizontal="left" vertical="top" wrapText="1" indent="1"/>
    </xf>
    <xf numFmtId="0" fontId="52" fillId="0" borderId="6" xfId="0" applyFont="1" applyBorder="1" applyAlignment="1" applyProtection="1">
      <alignment horizontal="center" vertical="center" wrapText="1"/>
    </xf>
    <xf numFmtId="0" fontId="52" fillId="0" borderId="8" xfId="0" applyFont="1" applyBorder="1" applyAlignment="1" applyProtection="1">
      <alignment horizontal="center" vertical="center" wrapText="1"/>
    </xf>
    <xf numFmtId="0" fontId="52" fillId="0" borderId="57" xfId="0" applyFont="1" applyBorder="1" applyAlignment="1" applyProtection="1">
      <alignment horizontal="left" vertical="center" wrapText="1"/>
    </xf>
    <xf numFmtId="0" fontId="2" fillId="0" borderId="25" xfId="0" applyFont="1" applyBorder="1" applyAlignment="1" applyProtection="1">
      <alignment horizontal="left" vertical="center" wrapText="1"/>
    </xf>
    <xf numFmtId="0" fontId="52" fillId="0" borderId="26" xfId="0" applyFont="1" applyBorder="1" applyAlignment="1" applyProtection="1">
      <alignment horizontal="left" vertical="center" wrapText="1"/>
    </xf>
    <xf numFmtId="0" fontId="60" fillId="0" borderId="7" xfId="0" applyFont="1" applyBorder="1" applyAlignment="1" applyProtection="1">
      <alignment horizontal="center" vertical="center" wrapText="1"/>
    </xf>
    <xf numFmtId="0" fontId="60" fillId="0" borderId="8" xfId="0" applyFont="1" applyBorder="1" applyAlignment="1" applyProtection="1">
      <alignment horizontal="center" vertical="center" wrapText="1"/>
    </xf>
    <xf numFmtId="0" fontId="1" fillId="0" borderId="6" xfId="0" applyFont="1" applyBorder="1" applyAlignment="1" applyProtection="1">
      <alignment horizontal="center" vertical="center" wrapText="1"/>
    </xf>
    <xf numFmtId="0" fontId="61" fillId="0" borderId="7" xfId="0" applyFont="1" applyBorder="1" applyAlignment="1" applyProtection="1">
      <alignment horizontal="center" vertical="center" wrapText="1"/>
    </xf>
    <xf numFmtId="0" fontId="52" fillId="0" borderId="21" xfId="0" applyFont="1" applyFill="1" applyBorder="1" applyAlignment="1" applyProtection="1">
      <alignment horizontal="left" wrapText="1"/>
    </xf>
    <xf numFmtId="0" fontId="52" fillId="0" borderId="15" xfId="0" applyFont="1" applyFill="1" applyBorder="1" applyAlignment="1" applyProtection="1">
      <alignment horizontal="left" wrapText="1"/>
    </xf>
    <xf numFmtId="0" fontId="52" fillId="0" borderId="20" xfId="0" applyFont="1" applyBorder="1" applyAlignment="1" applyProtection="1">
      <alignment horizontal="left" vertical="center" wrapText="1"/>
    </xf>
    <xf numFmtId="0" fontId="13" fillId="0" borderId="20" xfId="0" applyFont="1" applyBorder="1" applyAlignment="1" applyProtection="1">
      <alignment horizontal="center" vertical="center" wrapText="1"/>
    </xf>
    <xf numFmtId="0" fontId="13" fillId="0" borderId="23" xfId="0" applyFont="1" applyBorder="1" applyAlignment="1" applyProtection="1">
      <alignment horizontal="center" vertical="center" wrapText="1"/>
    </xf>
    <xf numFmtId="0" fontId="13" fillId="0" borderId="14" xfId="0" applyFont="1" applyBorder="1" applyAlignment="1" applyProtection="1">
      <alignment horizontal="center" vertical="center" wrapText="1"/>
    </xf>
    <xf numFmtId="0" fontId="54" fillId="0" borderId="23" xfId="0" applyFont="1" applyBorder="1" applyAlignment="1" applyProtection="1">
      <alignment horizontal="left"/>
    </xf>
    <xf numFmtId="0" fontId="54" fillId="0" borderId="14" xfId="0" applyFont="1" applyBorder="1" applyAlignment="1" applyProtection="1">
      <alignment horizontal="left"/>
    </xf>
    <xf numFmtId="0" fontId="54" fillId="0" borderId="22" xfId="0" applyFont="1" applyBorder="1" applyAlignment="1" applyProtection="1">
      <alignment horizontal="left"/>
    </xf>
    <xf numFmtId="0" fontId="1" fillId="0" borderId="35" xfId="0" applyFont="1" applyBorder="1" applyAlignment="1" applyProtection="1">
      <alignment horizontal="center" vertical="center"/>
    </xf>
    <xf numFmtId="0" fontId="61" fillId="0" borderId="8" xfId="0" applyFont="1" applyBorder="1" applyAlignment="1" applyProtection="1">
      <alignment horizontal="center" vertical="center"/>
    </xf>
    <xf numFmtId="0" fontId="52" fillId="0" borderId="63" xfId="0" applyFont="1" applyBorder="1" applyAlignment="1" applyProtection="1">
      <alignment horizontal="left" vertical="center" wrapText="1"/>
    </xf>
    <xf numFmtId="0" fontId="52" fillId="0" borderId="58" xfId="0" applyFont="1" applyBorder="1" applyAlignment="1" applyProtection="1">
      <alignment horizontal="left" vertical="center" wrapText="1"/>
    </xf>
    <xf numFmtId="0" fontId="2" fillId="0" borderId="20" xfId="0" applyFont="1" applyBorder="1" applyAlignment="1" applyProtection="1">
      <alignment horizontal="left" vertical="center" wrapText="1"/>
    </xf>
    <xf numFmtId="0" fontId="60" fillId="0" borderId="6" xfId="0" applyFont="1" applyBorder="1" applyAlignment="1" applyProtection="1">
      <alignment horizontal="center" vertical="center" wrapText="1"/>
    </xf>
    <xf numFmtId="0" fontId="52" fillId="0" borderId="24" xfId="0" applyFont="1" applyBorder="1" applyAlignment="1" applyProtection="1">
      <alignment horizontal="left" vertical="center" wrapText="1"/>
    </xf>
    <xf numFmtId="0" fontId="32" fillId="0" borderId="68" xfId="0" applyFont="1" applyFill="1" applyBorder="1" applyAlignment="1" applyProtection="1">
      <alignment horizontal="center" vertical="center"/>
      <protection locked="0"/>
    </xf>
    <xf numFmtId="0" fontId="32" fillId="0" borderId="28" xfId="0" applyFont="1" applyFill="1" applyBorder="1" applyAlignment="1" applyProtection="1">
      <alignment horizontal="center" vertical="center"/>
      <protection locked="0"/>
    </xf>
    <xf numFmtId="0" fontId="32" fillId="0" borderId="19" xfId="0" applyFont="1" applyFill="1" applyBorder="1" applyAlignment="1" applyProtection="1">
      <alignment horizontal="center" vertical="center"/>
      <protection locked="0"/>
    </xf>
    <xf numFmtId="0" fontId="52" fillId="0" borderId="20" xfId="0" applyFont="1" applyBorder="1" applyAlignment="1" applyProtection="1">
      <alignment horizontal="left" wrapText="1"/>
    </xf>
    <xf numFmtId="0" fontId="56" fillId="0" borderId="63" xfId="0" applyFont="1" applyBorder="1" applyAlignment="1" applyProtection="1">
      <alignment horizontal="left" wrapText="1"/>
    </xf>
    <xf numFmtId="0" fontId="56" fillId="0" borderId="40" xfId="0" applyFont="1" applyBorder="1" applyAlignment="1" applyProtection="1">
      <alignment horizontal="left" wrapText="1"/>
    </xf>
    <xf numFmtId="0" fontId="54" fillId="0" borderId="20" xfId="0" applyFont="1" applyBorder="1" applyAlignment="1" applyProtection="1">
      <alignment horizontal="left"/>
    </xf>
    <xf numFmtId="0" fontId="3" fillId="0" borderId="18" xfId="0" applyFont="1" applyBorder="1" applyAlignment="1">
      <alignment horizontal="center"/>
    </xf>
    <xf numFmtId="0" fontId="3" fillId="0" borderId="19" xfId="0" applyFont="1" applyBorder="1" applyAlignment="1">
      <alignment horizontal="center"/>
    </xf>
    <xf numFmtId="0" fontId="3" fillId="0" borderId="35" xfId="0" applyFont="1" applyBorder="1" applyAlignment="1">
      <alignment horizontal="center"/>
    </xf>
    <xf numFmtId="0" fontId="0" fillId="0" borderId="22" xfId="0" applyFont="1" applyBorder="1"/>
    <xf numFmtId="0" fontId="0" fillId="0" borderId="22" xfId="0" applyBorder="1"/>
  </cellXfs>
  <cellStyles count="3">
    <cellStyle name="Hipervínculo" xfId="1" builtinId="8"/>
    <cellStyle name="Millares" xfId="2" builtinId="3"/>
    <cellStyle name="Normal" xfId="0" builtinId="0"/>
  </cellStyles>
  <dxfs count="21">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b/>
        <i val="0"/>
        <strike val="0"/>
        <color theme="0"/>
      </font>
      <fill>
        <patternFill>
          <fgColor auto="1"/>
          <bgColor theme="0"/>
        </patternFill>
      </fill>
      <border>
        <left/>
        <right/>
        <top/>
        <bottom/>
        <vertical/>
        <horizontal/>
      </border>
    </dxf>
    <dxf>
      <font>
        <b/>
        <i val="0"/>
        <strike val="0"/>
        <color theme="0"/>
      </font>
      <fill>
        <patternFill>
          <fgColor auto="1"/>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s>
  <tableStyles count="0" defaultTableStyle="TableStyleMedium2" defaultPivotStyle="PivotStyleLight16"/>
  <colors>
    <mruColors>
      <color rgb="FF969696"/>
      <color rgb="FF02A621"/>
      <color rgb="FF03D32B"/>
      <color rgb="FF760000"/>
      <color rgb="FFFF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69274</xdr:colOff>
      <xdr:row>0</xdr:row>
      <xdr:rowOff>173181</xdr:rowOff>
    </xdr:from>
    <xdr:to>
      <xdr:col>0</xdr:col>
      <xdr:colOff>2988608</xdr:colOff>
      <xdr:row>0</xdr:row>
      <xdr:rowOff>1108364</xdr:rowOff>
    </xdr:to>
    <xdr:pic>
      <xdr:nvPicPr>
        <xdr:cNvPr id="7" name="Imagen 6">
          <a:extLst>
            <a:ext uri="{FF2B5EF4-FFF2-40B4-BE49-F238E27FC236}">
              <a16:creationId xmlns:a16="http://schemas.microsoft.com/office/drawing/2014/main" id="{9707AD07-C84E-4769-B61F-5DFF867C1F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274" y="554181"/>
          <a:ext cx="2919334" cy="935183"/>
        </a:xfrm>
        <a:prstGeom prst="rect">
          <a:avLst/>
        </a:prstGeom>
      </xdr:spPr>
    </xdr:pic>
    <xdr:clientData/>
  </xdr:twoCellAnchor>
  <xdr:twoCellAnchor editAs="oneCell">
    <xdr:from>
      <xdr:col>2</xdr:col>
      <xdr:colOff>595311</xdr:colOff>
      <xdr:row>0</xdr:row>
      <xdr:rowOff>74303</xdr:rowOff>
    </xdr:from>
    <xdr:to>
      <xdr:col>2</xdr:col>
      <xdr:colOff>3419474</xdr:colOff>
      <xdr:row>0</xdr:row>
      <xdr:rowOff>1133614</xdr:rowOff>
    </xdr:to>
    <xdr:pic>
      <xdr:nvPicPr>
        <xdr:cNvPr id="4" name="Imagen 3">
          <a:extLst>
            <a:ext uri="{FF2B5EF4-FFF2-40B4-BE49-F238E27FC236}">
              <a16:creationId xmlns:a16="http://schemas.microsoft.com/office/drawing/2014/main" id="{72A34DFC-0D94-4553-AED6-02D37E2C02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67624" y="74303"/>
          <a:ext cx="2824163" cy="10593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2" name="Imagen 1">
          <a:extLst>
            <a:ext uri="{FF2B5EF4-FFF2-40B4-BE49-F238E27FC236}">
              <a16:creationId xmlns:a16="http://schemas.microsoft.com/office/drawing/2014/main" id="{D7ED3B83-A044-4C94-ACAC-C89DA26C2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3</xdr:col>
      <xdr:colOff>289926</xdr:colOff>
      <xdr:row>0</xdr:row>
      <xdr:rowOff>71437</xdr:rowOff>
    </xdr:from>
    <xdr:to>
      <xdr:col>3</xdr:col>
      <xdr:colOff>2740819</xdr:colOff>
      <xdr:row>0</xdr:row>
      <xdr:rowOff>990739</xdr:rowOff>
    </xdr:to>
    <xdr:pic>
      <xdr:nvPicPr>
        <xdr:cNvPr id="4" name="Imagen 3">
          <a:extLst>
            <a:ext uri="{FF2B5EF4-FFF2-40B4-BE49-F238E27FC236}">
              <a16:creationId xmlns:a16="http://schemas.microsoft.com/office/drawing/2014/main" id="{DBFB858E-F9EC-477D-BA29-E407BA9ACC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43426" y="71437"/>
          <a:ext cx="2450893" cy="919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D859AEDA-CB08-4494-81E4-0EF58BDCD7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6</xdr:col>
      <xdr:colOff>142874</xdr:colOff>
      <xdr:row>0</xdr:row>
      <xdr:rowOff>69879</xdr:rowOff>
    </xdr:from>
    <xdr:to>
      <xdr:col>6</xdr:col>
      <xdr:colOff>2502693</xdr:colOff>
      <xdr:row>0</xdr:row>
      <xdr:rowOff>955020</xdr:rowOff>
    </xdr:to>
    <xdr:pic>
      <xdr:nvPicPr>
        <xdr:cNvPr id="4" name="Imagen 3">
          <a:extLst>
            <a:ext uri="{FF2B5EF4-FFF2-40B4-BE49-F238E27FC236}">
              <a16:creationId xmlns:a16="http://schemas.microsoft.com/office/drawing/2014/main" id="{63240199-B04F-48F4-8EDD-4511075102B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63187" y="69879"/>
          <a:ext cx="2359819" cy="8851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C94B7FB9-2796-439B-87CE-93DB3F48C2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5</xdr:col>
      <xdr:colOff>877291</xdr:colOff>
      <xdr:row>0</xdr:row>
      <xdr:rowOff>47626</xdr:rowOff>
    </xdr:from>
    <xdr:to>
      <xdr:col>5</xdr:col>
      <xdr:colOff>3264694</xdr:colOff>
      <xdr:row>0</xdr:row>
      <xdr:rowOff>943114</xdr:rowOff>
    </xdr:to>
    <xdr:pic>
      <xdr:nvPicPr>
        <xdr:cNvPr id="6" name="Imagen 5">
          <a:extLst>
            <a:ext uri="{FF2B5EF4-FFF2-40B4-BE49-F238E27FC236}">
              <a16:creationId xmlns:a16="http://schemas.microsoft.com/office/drawing/2014/main" id="{CC16FA5B-FE4F-4A96-A6E8-FF20052ABC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93229" y="47626"/>
          <a:ext cx="2387403" cy="8954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1218441</xdr:colOff>
      <xdr:row>0</xdr:row>
      <xdr:rowOff>935183</xdr:rowOff>
    </xdr:to>
    <xdr:pic>
      <xdr:nvPicPr>
        <xdr:cNvPr id="5" name="Imagen 4">
          <a:extLst>
            <a:ext uri="{FF2B5EF4-FFF2-40B4-BE49-F238E27FC236}">
              <a16:creationId xmlns:a16="http://schemas.microsoft.com/office/drawing/2014/main" id="{F6BC5E0C-FC25-45F8-954C-23FE3B228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2345734</xdr:colOff>
      <xdr:row>0</xdr:row>
      <xdr:rowOff>47625</xdr:rowOff>
    </xdr:from>
    <xdr:to>
      <xdr:col>3</xdr:col>
      <xdr:colOff>1419226</xdr:colOff>
      <xdr:row>0</xdr:row>
      <xdr:rowOff>955020</xdr:rowOff>
    </xdr:to>
    <xdr:pic>
      <xdr:nvPicPr>
        <xdr:cNvPr id="4" name="Imagen 3">
          <a:extLst>
            <a:ext uri="{FF2B5EF4-FFF2-40B4-BE49-F238E27FC236}">
              <a16:creationId xmlns:a16="http://schemas.microsoft.com/office/drawing/2014/main" id="{F30FF305-36EF-4D9B-87D2-80A9EC6659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04484" y="47625"/>
          <a:ext cx="2419148" cy="9073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68810</xdr:colOff>
      <xdr:row>0</xdr:row>
      <xdr:rowOff>789215</xdr:rowOff>
    </xdr:to>
    <xdr:pic>
      <xdr:nvPicPr>
        <xdr:cNvPr id="7" name="Imagen 6">
          <a:extLst>
            <a:ext uri="{FF2B5EF4-FFF2-40B4-BE49-F238E27FC236}">
              <a16:creationId xmlns:a16="http://schemas.microsoft.com/office/drawing/2014/main" id="{5FB3EAF5-6622-4CB4-B4D5-81CCB4E44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2463667" cy="789214"/>
        </a:xfrm>
        <a:prstGeom prst="rect">
          <a:avLst/>
        </a:prstGeom>
      </xdr:spPr>
    </xdr:pic>
    <xdr:clientData/>
  </xdr:twoCellAnchor>
  <xdr:twoCellAnchor editAs="oneCell">
    <xdr:from>
      <xdr:col>3</xdr:col>
      <xdr:colOff>1976437</xdr:colOff>
      <xdr:row>0</xdr:row>
      <xdr:rowOff>59489</xdr:rowOff>
    </xdr:from>
    <xdr:to>
      <xdr:col>4</xdr:col>
      <xdr:colOff>966788</xdr:colOff>
      <xdr:row>0</xdr:row>
      <xdr:rowOff>824051</xdr:rowOff>
    </xdr:to>
    <xdr:pic>
      <xdr:nvPicPr>
        <xdr:cNvPr id="4" name="Imagen 3">
          <a:extLst>
            <a:ext uri="{FF2B5EF4-FFF2-40B4-BE49-F238E27FC236}">
              <a16:creationId xmlns:a16="http://schemas.microsoft.com/office/drawing/2014/main" id="{9C98519E-1DA2-465E-AC63-2EB5124E82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63000" y="59489"/>
          <a:ext cx="2038351" cy="7645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2" name="Imagen 1">
          <a:extLst>
            <a:ext uri="{FF2B5EF4-FFF2-40B4-BE49-F238E27FC236}">
              <a16:creationId xmlns:a16="http://schemas.microsoft.com/office/drawing/2014/main" id="{4BDA00ED-3A27-45EF-BFE1-9461EA106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1111504</xdr:colOff>
      <xdr:row>0</xdr:row>
      <xdr:rowOff>59531</xdr:rowOff>
    </xdr:from>
    <xdr:to>
      <xdr:col>4</xdr:col>
      <xdr:colOff>2381</xdr:colOff>
      <xdr:row>0</xdr:row>
      <xdr:rowOff>1050270</xdr:rowOff>
    </xdr:to>
    <xdr:pic>
      <xdr:nvPicPr>
        <xdr:cNvPr id="5" name="Imagen 4">
          <a:extLst>
            <a:ext uri="{FF2B5EF4-FFF2-40B4-BE49-F238E27FC236}">
              <a16:creationId xmlns:a16="http://schemas.microsoft.com/office/drawing/2014/main" id="{D6D43C57-84CA-43CA-9519-8ABB3CF37A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00598" y="59531"/>
          <a:ext cx="2641346" cy="9907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E79A157A-5A88-44BF-B9D3-45498C75FF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00940D61-3B8A-42D3-9056-D749208799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1107281</xdr:colOff>
      <xdr:row>0</xdr:row>
      <xdr:rowOff>59532</xdr:rowOff>
    </xdr:from>
    <xdr:to>
      <xdr:col>3</xdr:col>
      <xdr:colOff>1688846</xdr:colOff>
      <xdr:row>0</xdr:row>
      <xdr:rowOff>1050271</xdr:rowOff>
    </xdr:to>
    <xdr:pic>
      <xdr:nvPicPr>
        <xdr:cNvPr id="9" name="Imagen 8">
          <a:extLst>
            <a:ext uri="{FF2B5EF4-FFF2-40B4-BE49-F238E27FC236}">
              <a16:creationId xmlns:a16="http://schemas.microsoft.com/office/drawing/2014/main" id="{57DFA20D-A1B7-4D23-8AE1-380D7F612C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5" y="59532"/>
          <a:ext cx="2641346" cy="9907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76BF9806-9158-495F-8088-BB1FD601E0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FCED4EA0-C640-4915-9321-BA6E42B879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C27A476A-1ACC-4F30-97A0-073655F7C4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1107281</xdr:colOff>
      <xdr:row>0</xdr:row>
      <xdr:rowOff>59531</xdr:rowOff>
    </xdr:from>
    <xdr:to>
      <xdr:col>3</xdr:col>
      <xdr:colOff>1688846</xdr:colOff>
      <xdr:row>0</xdr:row>
      <xdr:rowOff>1050270</xdr:rowOff>
    </xdr:to>
    <xdr:pic>
      <xdr:nvPicPr>
        <xdr:cNvPr id="10" name="Imagen 9">
          <a:extLst>
            <a:ext uri="{FF2B5EF4-FFF2-40B4-BE49-F238E27FC236}">
              <a16:creationId xmlns:a16="http://schemas.microsoft.com/office/drawing/2014/main" id="{5399067C-2B7C-48FC-8329-7091B67880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5" y="59531"/>
          <a:ext cx="2641346" cy="9907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7F86993F-EDD0-4CD8-9B13-775A64D3F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4888215C-1BB0-48A3-BF4D-B3F78E6B8C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17225992-6D6F-46E6-B2E4-3C566544F6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1119187</xdr:colOff>
      <xdr:row>0</xdr:row>
      <xdr:rowOff>47625</xdr:rowOff>
    </xdr:from>
    <xdr:to>
      <xdr:col>4</xdr:col>
      <xdr:colOff>10064</xdr:colOff>
      <xdr:row>0</xdr:row>
      <xdr:rowOff>1038364</xdr:rowOff>
    </xdr:to>
    <xdr:pic>
      <xdr:nvPicPr>
        <xdr:cNvPr id="10" name="Imagen 9">
          <a:extLst>
            <a:ext uri="{FF2B5EF4-FFF2-40B4-BE49-F238E27FC236}">
              <a16:creationId xmlns:a16="http://schemas.microsoft.com/office/drawing/2014/main" id="{05877CF7-381D-49E1-912C-A0A925AED2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08281" y="47625"/>
          <a:ext cx="2641346" cy="9907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429BDF71-35D8-4EC2-A49A-DE4D69599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AEB5209D-05E6-45A4-9954-9119E23330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ED4ADC78-A630-4048-B121-8307D0D0DF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1107280</xdr:colOff>
      <xdr:row>0</xdr:row>
      <xdr:rowOff>47626</xdr:rowOff>
    </xdr:from>
    <xdr:to>
      <xdr:col>3</xdr:col>
      <xdr:colOff>1688845</xdr:colOff>
      <xdr:row>0</xdr:row>
      <xdr:rowOff>1038365</xdr:rowOff>
    </xdr:to>
    <xdr:pic>
      <xdr:nvPicPr>
        <xdr:cNvPr id="10" name="Imagen 9">
          <a:extLst>
            <a:ext uri="{FF2B5EF4-FFF2-40B4-BE49-F238E27FC236}">
              <a16:creationId xmlns:a16="http://schemas.microsoft.com/office/drawing/2014/main" id="{35066FA5-D688-4C1B-A086-146C25EFE1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4" y="47626"/>
          <a:ext cx="2641346" cy="99073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2DF392E9-3C79-416B-B75C-F1A90D0D9B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D43BA6E9-D6FF-4DBE-8E95-E8A27B0AD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3AA457CB-95AC-49DD-80C1-9DDD53F41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1095375</xdr:colOff>
      <xdr:row>0</xdr:row>
      <xdr:rowOff>47625</xdr:rowOff>
    </xdr:from>
    <xdr:to>
      <xdr:col>3</xdr:col>
      <xdr:colOff>1676940</xdr:colOff>
      <xdr:row>0</xdr:row>
      <xdr:rowOff>1038364</xdr:rowOff>
    </xdr:to>
    <xdr:pic>
      <xdr:nvPicPr>
        <xdr:cNvPr id="10" name="Imagen 9">
          <a:extLst>
            <a:ext uri="{FF2B5EF4-FFF2-40B4-BE49-F238E27FC236}">
              <a16:creationId xmlns:a16="http://schemas.microsoft.com/office/drawing/2014/main" id="{DC142E36-3834-463D-93E9-45307E3A83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84469" y="47625"/>
          <a:ext cx="2641346" cy="99073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E7C81A4B-30D7-4B32-B022-5EDDA62DC7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06D12623-445E-40E1-A194-C0979FBAE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9DCEF8B3-DBD8-496E-94DB-8EA2A732E2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1107281</xdr:colOff>
      <xdr:row>0</xdr:row>
      <xdr:rowOff>59531</xdr:rowOff>
    </xdr:from>
    <xdr:to>
      <xdr:col>3</xdr:col>
      <xdr:colOff>1688846</xdr:colOff>
      <xdr:row>0</xdr:row>
      <xdr:rowOff>1050270</xdr:rowOff>
    </xdr:to>
    <xdr:pic>
      <xdr:nvPicPr>
        <xdr:cNvPr id="10" name="Imagen 9">
          <a:extLst>
            <a:ext uri="{FF2B5EF4-FFF2-40B4-BE49-F238E27FC236}">
              <a16:creationId xmlns:a16="http://schemas.microsoft.com/office/drawing/2014/main" id="{E2C01F9D-A36D-43D6-B408-E1F949AE26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5" y="59531"/>
          <a:ext cx="2641346" cy="9907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F9699DC0-BD3E-4C11-9F75-56F8D4CCD6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9C6CC7A7-2E00-4DB6-B698-6ACE448D9E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311C5DFB-4556-46B6-8CF2-F18F0A6E5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1107282</xdr:colOff>
      <xdr:row>0</xdr:row>
      <xdr:rowOff>59531</xdr:rowOff>
    </xdr:from>
    <xdr:to>
      <xdr:col>3</xdr:col>
      <xdr:colOff>1688847</xdr:colOff>
      <xdr:row>0</xdr:row>
      <xdr:rowOff>1050270</xdr:rowOff>
    </xdr:to>
    <xdr:pic>
      <xdr:nvPicPr>
        <xdr:cNvPr id="10" name="Imagen 9">
          <a:extLst>
            <a:ext uri="{FF2B5EF4-FFF2-40B4-BE49-F238E27FC236}">
              <a16:creationId xmlns:a16="http://schemas.microsoft.com/office/drawing/2014/main" id="{B0B780B1-C1EB-461A-84C2-7313E4FDAF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6" y="59531"/>
          <a:ext cx="2641346" cy="99073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1C7A91AD-3EDD-49E4-BA71-9DDE7010C8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8514B9AE-E728-406A-A3A9-E5739314D6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65782674-1259-4C2C-B3DD-1B8CCDA16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1107281</xdr:colOff>
      <xdr:row>0</xdr:row>
      <xdr:rowOff>59531</xdr:rowOff>
    </xdr:from>
    <xdr:to>
      <xdr:col>3</xdr:col>
      <xdr:colOff>1688846</xdr:colOff>
      <xdr:row>0</xdr:row>
      <xdr:rowOff>1050270</xdr:rowOff>
    </xdr:to>
    <xdr:pic>
      <xdr:nvPicPr>
        <xdr:cNvPr id="10" name="Imagen 9">
          <a:extLst>
            <a:ext uri="{FF2B5EF4-FFF2-40B4-BE49-F238E27FC236}">
              <a16:creationId xmlns:a16="http://schemas.microsoft.com/office/drawing/2014/main" id="{D2C2A7B4-61B3-4BD2-967A-5122EF312B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5" y="59531"/>
          <a:ext cx="2641346" cy="99073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2919334</xdr:colOff>
      <xdr:row>0</xdr:row>
      <xdr:rowOff>935183</xdr:rowOff>
    </xdr:to>
    <xdr:pic>
      <xdr:nvPicPr>
        <xdr:cNvPr id="4" name="Imagen 3">
          <a:extLst>
            <a:ext uri="{FF2B5EF4-FFF2-40B4-BE49-F238E27FC236}">
              <a16:creationId xmlns:a16="http://schemas.microsoft.com/office/drawing/2014/main" id="{8DF70654-FE09-49F3-9008-C1021BB91A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6" name="Imagen 5">
          <a:extLst>
            <a:ext uri="{FF2B5EF4-FFF2-40B4-BE49-F238E27FC236}">
              <a16:creationId xmlns:a16="http://schemas.microsoft.com/office/drawing/2014/main" id="{CED6982B-747C-431F-99E1-08D12699CB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xdr:from>
      <xdr:col>0</xdr:col>
      <xdr:colOff>0</xdr:colOff>
      <xdr:row>0</xdr:row>
      <xdr:rowOff>0</xdr:rowOff>
    </xdr:from>
    <xdr:to>
      <xdr:col>0</xdr:col>
      <xdr:colOff>2919334</xdr:colOff>
      <xdr:row>0</xdr:row>
      <xdr:rowOff>935183</xdr:rowOff>
    </xdr:to>
    <xdr:pic>
      <xdr:nvPicPr>
        <xdr:cNvPr id="8" name="Imagen 7">
          <a:extLst>
            <a:ext uri="{FF2B5EF4-FFF2-40B4-BE49-F238E27FC236}">
              <a16:creationId xmlns:a16="http://schemas.microsoft.com/office/drawing/2014/main" id="{C445B7CD-652C-43F4-BD4E-1F539EC10D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19334" cy="935183"/>
        </a:xfrm>
        <a:prstGeom prst="rect">
          <a:avLst/>
        </a:prstGeom>
      </xdr:spPr>
    </xdr:pic>
    <xdr:clientData/>
  </xdr:twoCellAnchor>
  <xdr:twoCellAnchor editAs="oneCell">
    <xdr:from>
      <xdr:col>2</xdr:col>
      <xdr:colOff>1107281</xdr:colOff>
      <xdr:row>0</xdr:row>
      <xdr:rowOff>59531</xdr:rowOff>
    </xdr:from>
    <xdr:to>
      <xdr:col>3</xdr:col>
      <xdr:colOff>1688846</xdr:colOff>
      <xdr:row>0</xdr:row>
      <xdr:rowOff>1050270</xdr:rowOff>
    </xdr:to>
    <xdr:pic>
      <xdr:nvPicPr>
        <xdr:cNvPr id="10" name="Imagen 9">
          <a:extLst>
            <a:ext uri="{FF2B5EF4-FFF2-40B4-BE49-F238E27FC236}">
              <a16:creationId xmlns:a16="http://schemas.microsoft.com/office/drawing/2014/main" id="{DA5EC131-8342-4E22-9AFC-E379A152E0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96375" y="59531"/>
          <a:ext cx="2641346" cy="99073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C62B1-F188-4002-A08B-80DF2B75B725}">
  <sheetPr codeName="Hoja1">
    <pageSetUpPr fitToPage="1"/>
  </sheetPr>
  <dimension ref="A1:L20"/>
  <sheetViews>
    <sheetView showGridLines="0" tabSelected="1" zoomScale="80" zoomScaleNormal="80" zoomScaleSheetLayoutView="70" workbookViewId="0">
      <selection activeCell="B5" sqref="B5:C5"/>
    </sheetView>
  </sheetViews>
  <sheetFormatPr baseColWidth="10" defaultRowHeight="23.25" customHeight="1" x14ac:dyDescent="0.25"/>
  <cols>
    <col min="1" max="1" width="54.5703125" style="63" customWidth="1"/>
    <col min="2" max="3" width="51.42578125" style="47" customWidth="1"/>
    <col min="4" max="4" width="31.42578125" style="47" customWidth="1"/>
    <col min="5" max="16384" width="11.42578125" style="47"/>
  </cols>
  <sheetData>
    <row r="1" spans="1:12" ht="96.75" customHeight="1" x14ac:dyDescent="0.25">
      <c r="A1" s="43"/>
      <c r="B1" s="329"/>
      <c r="C1" s="44"/>
      <c r="D1" s="45"/>
      <c r="E1" s="46"/>
      <c r="F1" s="46"/>
      <c r="G1" s="46"/>
      <c r="H1" s="46"/>
      <c r="I1" s="46"/>
      <c r="J1" s="46"/>
      <c r="K1" s="46"/>
      <c r="L1" s="46"/>
    </row>
    <row r="2" spans="1:12" ht="62.25" customHeight="1" x14ac:dyDescent="0.5">
      <c r="A2" s="333" t="s">
        <v>521</v>
      </c>
      <c r="B2" s="333"/>
      <c r="C2" s="333"/>
      <c r="D2" s="48"/>
    </row>
    <row r="3" spans="1:12" s="46" customFormat="1" ht="12.75" customHeight="1" x14ac:dyDescent="0.5">
      <c r="A3" s="49"/>
      <c r="B3" s="50"/>
      <c r="C3" s="50"/>
    </row>
    <row r="4" spans="1:12" ht="32.25" customHeight="1" x14ac:dyDescent="0.25">
      <c r="A4" s="43"/>
      <c r="B4" s="332" t="s">
        <v>51</v>
      </c>
      <c r="C4" s="332"/>
      <c r="D4" s="46"/>
      <c r="E4" s="46"/>
      <c r="F4" s="46"/>
      <c r="G4" s="46"/>
      <c r="H4" s="46"/>
      <c r="I4" s="46"/>
      <c r="J4" s="46"/>
      <c r="K4" s="46"/>
      <c r="L4" s="46"/>
    </row>
    <row r="5" spans="1:12" ht="33" customHeight="1" x14ac:dyDescent="0.3">
      <c r="A5" s="51" t="s">
        <v>49</v>
      </c>
      <c r="B5" s="337" t="s">
        <v>89</v>
      </c>
      <c r="C5" s="337"/>
    </row>
    <row r="6" spans="1:12" ht="33" customHeight="1" x14ac:dyDescent="0.3">
      <c r="A6" s="51" t="s">
        <v>38</v>
      </c>
      <c r="B6" s="336"/>
      <c r="C6" s="336"/>
    </row>
    <row r="7" spans="1:12" ht="33" customHeight="1" x14ac:dyDescent="0.3">
      <c r="A7" s="51" t="s">
        <v>50</v>
      </c>
      <c r="B7" s="336"/>
      <c r="C7" s="336"/>
    </row>
    <row r="8" spans="1:12" ht="33" customHeight="1" x14ac:dyDescent="0.3">
      <c r="A8" s="51" t="s">
        <v>53</v>
      </c>
      <c r="B8" s="336"/>
      <c r="C8" s="336"/>
    </row>
    <row r="9" spans="1:12" ht="33" customHeight="1" x14ac:dyDescent="0.3">
      <c r="A9" s="51" t="s">
        <v>39</v>
      </c>
      <c r="B9" s="336"/>
      <c r="C9" s="336"/>
    </row>
    <row r="10" spans="1:12" ht="23.25" customHeight="1" x14ac:dyDescent="0.25">
      <c r="A10" s="52"/>
      <c r="B10" s="53"/>
    </row>
    <row r="11" spans="1:12" ht="42" customHeight="1" x14ac:dyDescent="0.25">
      <c r="A11" s="54" t="s">
        <v>368</v>
      </c>
      <c r="B11" s="40" t="s">
        <v>89</v>
      </c>
      <c r="C11" s="55" t="s">
        <v>369</v>
      </c>
    </row>
    <row r="12" spans="1:12" ht="45" customHeight="1" x14ac:dyDescent="0.25">
      <c r="A12" s="54" t="s">
        <v>512</v>
      </c>
      <c r="B12" s="42" t="s">
        <v>89</v>
      </c>
      <c r="C12" s="56"/>
      <c r="D12" s="57"/>
    </row>
    <row r="13" spans="1:12" ht="75.75" customHeight="1" x14ac:dyDescent="0.25">
      <c r="A13" s="58" t="s">
        <v>370</v>
      </c>
      <c r="B13" s="334"/>
      <c r="C13" s="335"/>
      <c r="D13" s="57"/>
    </row>
    <row r="14" spans="1:12" ht="52.5" customHeight="1" x14ac:dyDescent="0.25">
      <c r="A14" s="338" t="s">
        <v>542</v>
      </c>
      <c r="B14" s="338"/>
      <c r="C14" s="338"/>
      <c r="D14" s="57"/>
    </row>
    <row r="15" spans="1:12" ht="32.25" customHeight="1" x14ac:dyDescent="0.25">
      <c r="A15" s="43"/>
      <c r="B15" s="332" t="s">
        <v>64</v>
      </c>
      <c r="C15" s="332"/>
    </row>
    <row r="16" spans="1:12" ht="36.75" customHeight="1" x14ac:dyDescent="0.25">
      <c r="A16" s="43"/>
      <c r="B16" s="59" t="s">
        <v>128</v>
      </c>
      <c r="C16" s="60" t="s">
        <v>87</v>
      </c>
    </row>
    <row r="17" spans="1:4" ht="33" customHeight="1" x14ac:dyDescent="0.3">
      <c r="A17" s="51" t="s">
        <v>37</v>
      </c>
      <c r="B17" s="14" t="s">
        <v>89</v>
      </c>
      <c r="C17" s="61" t="str">
        <f>IF(B17="(Campo desplegable)","",IF(B17="SÍ","RELLENAR LA HOJA 'PERSONAL' DE ESTE FORMULARIO","NO DEBE COMPLETAR LA HOJA 'PERSONAL' DE ESTE FORMULARIO"))</f>
        <v/>
      </c>
      <c r="D17" s="57"/>
    </row>
    <row r="18" spans="1:4" ht="33" customHeight="1" x14ac:dyDescent="0.3">
      <c r="A18" s="51" t="s">
        <v>54</v>
      </c>
      <c r="B18" s="14" t="s">
        <v>89</v>
      </c>
      <c r="C18" s="61" t="str">
        <f>IF(B18="(Campo desplegable)","",IF(B18="SÍ","RELLENAR LA HOJA 'EQUIPAMIENTO' DE ESTE FORMULARIO","NO DEBE COMPLETAR LA HOJA 'EQUIPAMIENTO' DE ESTE FORMULARIO"))</f>
        <v/>
      </c>
    </row>
    <row r="19" spans="1:4" ht="33" customHeight="1" x14ac:dyDescent="0.3">
      <c r="A19" s="51" t="s">
        <v>283</v>
      </c>
      <c r="B19" s="14" t="s">
        <v>89</v>
      </c>
      <c r="C19" s="61" t="str">
        <f>IF(B19="(Campo desplegable)","",IF(B19="SÍ","RELLENAR LA HOJA 'INSTALACIÓN-INFRAESTRUCTURA' DE ESTE FORMULARIO","NO DEBE COMPLETAR LA HOJA 'INSTALACIÓN-INFRAESTRUCTURA' DE ESTE FORMULARIO"))</f>
        <v/>
      </c>
    </row>
    <row r="20" spans="1:4" ht="33" customHeight="1" x14ac:dyDescent="0.3">
      <c r="A20" s="51" t="s">
        <v>285</v>
      </c>
      <c r="B20" s="14" t="s">
        <v>89</v>
      </c>
      <c r="C20" s="61" t="str">
        <f>IF(B20="(Campo desplegable)","",IF(B20="SÍ","RELLENAR LA HOJA 'OTROS' DE ESTE FORMULARIO","NO DEBE COMPLETAR LA HOJA 'OTROS' DE ESTE FORMULARIO"))</f>
        <v/>
      </c>
    </row>
  </sheetData>
  <sheetProtection algorithmName="SHA-512" hashValue="TpqL/BIi8SL7zKlKLtbiTRwSe3dxTNWXfz0pIVmLvDXvhOVjT66Io11w/R6SCcCZAeuWUo53bdcia5QkOmI6PA==" saltValue="a0USYBoMHuLOG8RQGYRnPg==" spinCount="100000" sheet="1" selectLockedCells="1"/>
  <mergeCells count="10">
    <mergeCell ref="B15:C15"/>
    <mergeCell ref="B4:C4"/>
    <mergeCell ref="A2:C2"/>
    <mergeCell ref="B13:C13"/>
    <mergeCell ref="B7:C7"/>
    <mergeCell ref="B9:C9"/>
    <mergeCell ref="B5:C5"/>
    <mergeCell ref="B6:C6"/>
    <mergeCell ref="B8:C8"/>
    <mergeCell ref="A14:C14"/>
  </mergeCells>
  <dataValidations count="2">
    <dataValidation type="list" allowBlank="1" showInputMessage="1" showErrorMessage="1" sqref="B17:B20" xr:uid="{5B9701A9-BC66-44E0-8F15-07B006F00E5D}">
      <formula1>"(Campo desplegable),SÍ,NO"</formula1>
    </dataValidation>
    <dataValidation type="list" allowBlank="1" showInputMessage="1" showErrorMessage="1" sqref="B12" xr:uid="{E716E0AB-A7F7-4198-8018-2EB019469522}">
      <formula1>"(Campo desplegable),1,2,3,4,5,6,7,8,9,10,&gt;10"</formula1>
    </dataValidation>
  </dataValidations>
  <pageMargins left="0.23622047244094491" right="0.23622047244094491" top="0.74803149606299213" bottom="0.74803149606299213" header="0.31496062992125984" footer="0.31496062992125984"/>
  <pageSetup paperSize="9" scale="63"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934B300-43FE-40AE-AB8D-12299E7C9198}">
          <x14:formula1>
            <xm:f>Referencias!$G$2:$G$10</xm:f>
          </x14:formula1>
          <xm:sqref>B11</xm:sqref>
        </x14:dataValidation>
        <x14:dataValidation type="list" allowBlank="1" showInputMessage="1" showErrorMessage="1" xr:uid="{F652E7A1-42CF-4AE6-B87B-5BA1CA6AEF70}">
          <x14:formula1>
            <xm:f>Referencias!$H$2:$H$150</xm:f>
          </x14:formula1>
          <xm:sqref>B5:C5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463A-9799-4729-A4C2-4D2FA48FA9D4}">
  <dimension ref="A1:I35"/>
  <sheetViews>
    <sheetView showGridLines="0" zoomScale="80" zoomScaleNormal="80" zoomScaleSheetLayoutView="95" workbookViewId="0">
      <selection activeCell="C4" sqref="C4:D4"/>
    </sheetView>
  </sheetViews>
  <sheetFormatPr baseColWidth="10" defaultColWidth="46.85546875" defaultRowHeight="24.75" customHeight="1" x14ac:dyDescent="0.25"/>
  <cols>
    <col min="1" max="1" width="46.85546875" style="11"/>
    <col min="2" max="2" width="45.85546875" style="11" customWidth="1"/>
    <col min="3" max="4" width="41.5703125" style="11" customWidth="1"/>
    <col min="5" max="5" width="44.140625" style="11" hidden="1" customWidth="1"/>
    <col min="6" max="6" width="51.5703125" style="11" customWidth="1"/>
    <col min="7" max="7" width="12.85546875" style="11" customWidth="1"/>
    <col min="8" max="8" width="12.140625" style="11" customWidth="1"/>
    <col min="9" max="16384" width="46.85546875" style="11"/>
  </cols>
  <sheetData>
    <row r="1" spans="1:9" ht="84" customHeight="1" x14ac:dyDescent="0.25">
      <c r="B1" s="329"/>
    </row>
    <row r="2" spans="1:9" ht="43.5" customHeight="1" x14ac:dyDescent="0.25">
      <c r="A2" s="339" t="s">
        <v>522</v>
      </c>
      <c r="B2" s="339"/>
      <c r="C2" s="339"/>
      <c r="D2" s="339"/>
      <c r="E2" s="64"/>
      <c r="F2" s="64"/>
      <c r="G2" s="64"/>
      <c r="H2" s="45"/>
    </row>
    <row r="3" spans="1:9" ht="18.75" customHeight="1" thickBot="1" x14ac:dyDescent="0.3">
      <c r="A3" s="43"/>
      <c r="F3" s="343"/>
      <c r="G3" s="343"/>
    </row>
    <row r="4" spans="1:9" ht="49.5" customHeight="1" thickBot="1" x14ac:dyDescent="0.3">
      <c r="A4" s="339" t="s">
        <v>511</v>
      </c>
      <c r="B4" s="355"/>
      <c r="C4" s="344" t="str">
        <f>IF('Datos generales'!B11="(Campo desplegable)","Indicar en la hoja de 'Datos generales'",'Datos generales'!B11)</f>
        <v>Indicar en la hoja de 'Datos generales'</v>
      </c>
      <c r="D4" s="345"/>
    </row>
    <row r="5" spans="1:9" ht="24.75" customHeight="1" thickBot="1" x14ac:dyDescent="0.3"/>
    <row r="6" spans="1:9" ht="44.25" customHeight="1" thickBot="1" x14ac:dyDescent="0.45">
      <c r="A6" s="358" t="s">
        <v>22</v>
      </c>
      <c r="B6" s="358"/>
      <c r="C6" s="346">
        <v>5</v>
      </c>
      <c r="D6" s="347"/>
    </row>
    <row r="7" spans="1:9" ht="46.5" customHeight="1" thickBot="1" x14ac:dyDescent="0.45">
      <c r="A7" s="359" t="s">
        <v>23</v>
      </c>
      <c r="B7" s="359"/>
      <c r="C7" s="348">
        <v>15</v>
      </c>
      <c r="D7" s="349"/>
    </row>
    <row r="8" spans="1:9" ht="24.75" customHeight="1" thickBot="1" x14ac:dyDescent="0.35">
      <c r="A8" s="65"/>
    </row>
    <row r="9" spans="1:9" ht="40.5" customHeight="1" thickBot="1" x14ac:dyDescent="0.5">
      <c r="A9" s="351" t="s">
        <v>24</v>
      </c>
      <c r="B9" s="351"/>
      <c r="C9" s="352"/>
      <c r="D9" s="66">
        <f>B27+E27</f>
        <v>0</v>
      </c>
      <c r="E9" s="67"/>
      <c r="F9" s="350"/>
      <c r="G9" s="350"/>
    </row>
    <row r="10" spans="1:9" ht="40.5" customHeight="1" thickBot="1" x14ac:dyDescent="0.5">
      <c r="A10" s="68" t="s">
        <v>506</v>
      </c>
      <c r="B10" s="69"/>
      <c r="C10" s="69"/>
      <c r="D10" s="70"/>
      <c r="E10" s="67"/>
    </row>
    <row r="11" spans="1:9" ht="40.5" customHeight="1" thickBot="1" x14ac:dyDescent="0.5">
      <c r="A11" s="353" t="s">
        <v>509</v>
      </c>
      <c r="B11" s="353"/>
      <c r="C11" s="354"/>
      <c r="D11" s="66">
        <f>C27*(1+IVA*IVA_NO_DEDUCIBLE)</f>
        <v>0</v>
      </c>
      <c r="E11" s="67"/>
    </row>
    <row r="12" spans="1:9" ht="40.5" customHeight="1" thickBot="1" x14ac:dyDescent="0.5">
      <c r="A12" s="351" t="s">
        <v>510</v>
      </c>
      <c r="B12" s="351"/>
      <c r="C12" s="352"/>
      <c r="D12" s="66">
        <f>D11+(D11*PORCENTAJE_MARGINAL)</f>
        <v>0</v>
      </c>
      <c r="E12" s="67"/>
    </row>
    <row r="13" spans="1:9" ht="40.5" customHeight="1" thickBot="1" x14ac:dyDescent="0.5">
      <c r="A13" s="68" t="s">
        <v>507</v>
      </c>
      <c r="B13" s="69"/>
      <c r="C13" s="69"/>
      <c r="D13" s="70"/>
      <c r="E13" s="67"/>
    </row>
    <row r="14" spans="1:9" ht="40.5" customHeight="1" thickBot="1" x14ac:dyDescent="0.5">
      <c r="A14" s="356" t="str">
        <f>"Para solicitudes AGE/OPIs/Universidades " &amp; $C$6 &amp;"% (€)"</f>
        <v>Para solicitudes AGE/OPIs/Universidades 5% (€)</v>
      </c>
      <c r="B14" s="356"/>
      <c r="C14" s="357"/>
      <c r="D14" s="66">
        <f>IF(D17&lt;0.3,D9*(1+C6/100),D9)</f>
        <v>0</v>
      </c>
      <c r="E14" s="67"/>
    </row>
    <row r="15" spans="1:9" ht="40.5" customHeight="1" thickBot="1" x14ac:dyDescent="0.5">
      <c r="A15" s="351" t="str">
        <f>"Para otros usuarios "&amp;$C$7 &amp;"% (€)"</f>
        <v>Para otros usuarios 15% (€)</v>
      </c>
      <c r="B15" s="351"/>
      <c r="C15" s="352"/>
      <c r="D15" s="66">
        <f>IF(D17&lt;0.3,D9*(1+C7/100),D9)</f>
        <v>0</v>
      </c>
      <c r="E15" s="67"/>
    </row>
    <row r="16" spans="1:9" ht="40.5" customHeight="1" thickBot="1" x14ac:dyDescent="0.5">
      <c r="A16" s="69"/>
      <c r="B16" s="69"/>
      <c r="C16" s="69"/>
      <c r="D16" s="70"/>
      <c r="E16" s="67"/>
      <c r="H16" s="67"/>
      <c r="I16" s="67"/>
    </row>
    <row r="17" spans="1:9" ht="40.5" customHeight="1" thickBot="1" x14ac:dyDescent="0.5">
      <c r="A17" s="351" t="s">
        <v>518</v>
      </c>
      <c r="B17" s="351"/>
      <c r="C17" s="352"/>
      <c r="D17" s="71">
        <f>IF(D27=0,0,D27/D9)</f>
        <v>0</v>
      </c>
      <c r="E17" s="67"/>
      <c r="F17" s="72"/>
      <c r="H17" s="67"/>
      <c r="I17" s="67"/>
    </row>
    <row r="18" spans="1:9" ht="40.5" customHeight="1" x14ac:dyDescent="0.25">
      <c r="E18" s="67"/>
      <c r="F18" s="73"/>
      <c r="G18" s="67"/>
      <c r="H18" s="67"/>
    </row>
    <row r="19" spans="1:9" ht="40.5" hidden="1" customHeight="1" thickBot="1" x14ac:dyDescent="0.3">
      <c r="A19" s="340" t="s">
        <v>508</v>
      </c>
      <c r="B19" s="341"/>
      <c r="C19" s="341"/>
      <c r="D19" s="342"/>
      <c r="E19" s="67"/>
      <c r="F19" s="74"/>
      <c r="G19" s="67"/>
      <c r="H19" s="67"/>
    </row>
    <row r="20" spans="1:9" ht="40.5" hidden="1" customHeight="1" thickBot="1" x14ac:dyDescent="0.3">
      <c r="A20" s="75" t="s">
        <v>36</v>
      </c>
      <c r="B20" s="76" t="s">
        <v>505</v>
      </c>
      <c r="C20" s="77" t="s">
        <v>503</v>
      </c>
      <c r="D20" s="77" t="s">
        <v>504</v>
      </c>
      <c r="E20" s="78" t="s">
        <v>290</v>
      </c>
      <c r="F20" s="72"/>
      <c r="H20" s="67"/>
      <c r="I20" s="67"/>
    </row>
    <row r="21" spans="1:9" ht="43.5" hidden="1" customHeight="1" x14ac:dyDescent="0.3">
      <c r="A21" s="79" t="s">
        <v>305</v>
      </c>
      <c r="B21" s="80">
        <f>Personal!$I$30</f>
        <v>0</v>
      </c>
      <c r="C21" s="81" t="s">
        <v>310</v>
      </c>
      <c r="D21" s="82" t="s">
        <v>310</v>
      </c>
      <c r="E21" s="83">
        <f>Personal!$J$30</f>
        <v>0</v>
      </c>
      <c r="H21" s="67"/>
      <c r="I21" s="67"/>
    </row>
    <row r="22" spans="1:9" ht="43.5" hidden="1" customHeight="1" x14ac:dyDescent="0.3">
      <c r="A22" s="79" t="s">
        <v>513</v>
      </c>
      <c r="B22" s="84">
        <f>Equipamiento!F21</f>
        <v>0</v>
      </c>
      <c r="C22" s="84">
        <f>Equipamiento!H21</f>
        <v>0</v>
      </c>
      <c r="D22" s="85">
        <f>Equipamiento!I21</f>
        <v>0</v>
      </c>
      <c r="E22" s="83">
        <f>Equipamiento!$G$21</f>
        <v>0</v>
      </c>
      <c r="H22" s="67"/>
      <c r="I22" s="67"/>
    </row>
    <row r="23" spans="1:9" ht="43.5" hidden="1" customHeight="1" x14ac:dyDescent="0.3">
      <c r="A23" s="79" t="s">
        <v>306</v>
      </c>
      <c r="B23" s="84">
        <f>'Instalación-Infraestructura'!$I$79</f>
        <v>0</v>
      </c>
      <c r="C23" s="84">
        <f>'Instalación-Infraestructura'!$K$79</f>
        <v>0</v>
      </c>
      <c r="D23" s="82" t="s">
        <v>310</v>
      </c>
      <c r="E23" s="83">
        <f>'Instalación-Infraestructura'!$J$79</f>
        <v>0</v>
      </c>
    </row>
    <row r="24" spans="1:9" ht="43.5" hidden="1" customHeight="1" x14ac:dyDescent="0.3">
      <c r="A24" s="79" t="s">
        <v>514</v>
      </c>
      <c r="B24" s="84">
        <f>Otros!$G$72</f>
        <v>0</v>
      </c>
      <c r="C24" s="84">
        <f>Otros!$I$72</f>
        <v>0</v>
      </c>
      <c r="D24" s="82" t="s">
        <v>310</v>
      </c>
      <c r="E24" s="83">
        <f>Otros!$H$72</f>
        <v>0</v>
      </c>
    </row>
    <row r="25" spans="1:9" ht="43.5" hidden="1" customHeight="1" thickBot="1" x14ac:dyDescent="0.35">
      <c r="A25" s="79" t="s">
        <v>307</v>
      </c>
      <c r="B25" s="84">
        <f>SUM(B22:B24)*IVA*IVA_NO_DEDUCIBLE</f>
        <v>0</v>
      </c>
      <c r="C25" s="86" t="s">
        <v>310</v>
      </c>
      <c r="D25" s="87" t="s">
        <v>310</v>
      </c>
      <c r="E25" s="88">
        <f>SUM(E22:E24)*IVA*IVA_NO_DEDUCIBLE</f>
        <v>0</v>
      </c>
    </row>
    <row r="26" spans="1:9" ht="61.5" hidden="1" customHeight="1" thickBot="1" x14ac:dyDescent="0.35">
      <c r="A26" s="89" t="s">
        <v>316</v>
      </c>
      <c r="B26" s="90" t="s">
        <v>310</v>
      </c>
      <c r="C26" s="90" t="s">
        <v>310</v>
      </c>
      <c r="D26" s="91" t="s">
        <v>310</v>
      </c>
      <c r="E26" s="88">
        <f>(B21+B22+B23+B24+B25+E21+E22+E23+E24+E25)*23.5/100</f>
        <v>0</v>
      </c>
    </row>
    <row r="27" spans="1:9" ht="39.75" hidden="1" customHeight="1" thickBot="1" x14ac:dyDescent="0.3">
      <c r="A27" s="92" t="s">
        <v>24</v>
      </c>
      <c r="B27" s="93">
        <f>SUM(B21:B25)</f>
        <v>0</v>
      </c>
      <c r="C27" s="93">
        <f>SUM(C22:C24)</f>
        <v>0</v>
      </c>
      <c r="D27" s="93">
        <f>D22</f>
        <v>0</v>
      </c>
      <c r="E27" s="94">
        <f>SUM(E21:E26)</f>
        <v>0</v>
      </c>
    </row>
    <row r="28" spans="1:9" ht="39.75" hidden="1" customHeight="1" x14ac:dyDescent="0.25"/>
    <row r="29" spans="1:9" ht="39.75" customHeight="1" x14ac:dyDescent="0.25"/>
    <row r="30" spans="1:9" ht="39.75" customHeight="1" x14ac:dyDescent="0.25"/>
    <row r="31" spans="1:9" ht="39.75" customHeight="1" x14ac:dyDescent="0.25"/>
    <row r="32" spans="1:9" ht="39.75" customHeight="1" x14ac:dyDescent="0.25"/>
    <row r="33" ht="39.75" customHeight="1" x14ac:dyDescent="0.25"/>
    <row r="34" ht="39.75" customHeight="1" x14ac:dyDescent="0.25"/>
    <row r="35" ht="39.75" customHeight="1" x14ac:dyDescent="0.25"/>
  </sheetData>
  <sheetProtection algorithmName="SHA-512" hashValue="SVJb9FDQYJve6uY+ozwp2drvq3ShNqZZ4Pmf6q4yut2fwV+Xobs5PWrVNkYeMGb8rQkfh7cpvyhof4oXfWQqfQ==" saltValue="FRoViWUbGhmcRRlJGaKo2g==" spinCount="100000" sheet="1" selectLockedCells="1"/>
  <mergeCells count="16">
    <mergeCell ref="A2:D2"/>
    <mergeCell ref="A19:D19"/>
    <mergeCell ref="F3:G3"/>
    <mergeCell ref="C4:D4"/>
    <mergeCell ref="C6:D6"/>
    <mergeCell ref="C7:D7"/>
    <mergeCell ref="F9:G9"/>
    <mergeCell ref="A9:C9"/>
    <mergeCell ref="A11:C11"/>
    <mergeCell ref="A12:C12"/>
    <mergeCell ref="A4:B4"/>
    <mergeCell ref="A14:C14"/>
    <mergeCell ref="A15:C15"/>
    <mergeCell ref="A17:C17"/>
    <mergeCell ref="A6:B6"/>
    <mergeCell ref="A7:B7"/>
  </mergeCells>
  <pageMargins left="0.7" right="0.7" top="0.75" bottom="0.75" header="0.3" footer="0.3"/>
  <pageSetup paperSize="9" scale="3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81D7-099D-4CF0-9226-622F58BFB44D}">
  <sheetPr codeName="Hoja3"/>
  <dimension ref="A1:L30"/>
  <sheetViews>
    <sheetView showGridLines="0" zoomScale="80" zoomScaleNormal="80" zoomScaleSheetLayoutView="95" workbookViewId="0">
      <selection activeCell="B9" sqref="B9"/>
    </sheetView>
  </sheetViews>
  <sheetFormatPr baseColWidth="10" defaultRowHeight="15" x14ac:dyDescent="0.25"/>
  <cols>
    <col min="1" max="1" width="64.85546875" style="11" customWidth="1"/>
    <col min="2" max="2" width="37.85546875" style="11" customWidth="1"/>
    <col min="3" max="5" width="14.42578125" style="11" customWidth="1"/>
    <col min="6" max="6" width="5.7109375" style="11" customWidth="1"/>
    <col min="7" max="7" width="37.85546875" style="11" customWidth="1"/>
    <col min="8" max="8" width="14.42578125" style="11" customWidth="1"/>
    <col min="9" max="12" width="20.140625" style="95" hidden="1" customWidth="1"/>
    <col min="13" max="16384" width="11.42578125" style="11"/>
  </cols>
  <sheetData>
    <row r="1" spans="1:12" ht="80.25" customHeight="1" x14ac:dyDescent="0.25">
      <c r="B1" s="329"/>
    </row>
    <row r="2" spans="1:12" ht="30.75" customHeight="1" x14ac:dyDescent="0.5">
      <c r="A2" s="360" t="s">
        <v>371</v>
      </c>
      <c r="B2" s="361"/>
      <c r="C2" s="361"/>
      <c r="D2" s="361"/>
      <c r="E2" s="361"/>
      <c r="F2" s="361"/>
      <c r="G2" s="361"/>
      <c r="H2" s="48"/>
    </row>
    <row r="3" spans="1:12" s="9" customFormat="1" ht="13.5" customHeight="1" thickBot="1" x14ac:dyDescent="0.55000000000000004">
      <c r="A3" s="50"/>
      <c r="B3" s="50"/>
      <c r="C3" s="50"/>
      <c r="D3" s="50"/>
      <c r="E3" s="50"/>
      <c r="F3" s="50"/>
      <c r="G3" s="50"/>
      <c r="H3" s="50"/>
      <c r="I3" s="96"/>
      <c r="J3" s="96"/>
      <c r="K3" s="97"/>
      <c r="L3" s="97"/>
    </row>
    <row r="4" spans="1:12" ht="49.5" customHeight="1" thickBot="1" x14ac:dyDescent="0.3">
      <c r="A4" s="98" t="s">
        <v>511</v>
      </c>
      <c r="B4" s="365" t="str">
        <f>IF('Datos generales'!B11:C11="(Campo desplegable)","Indicar en la hoja de 'Datos generales'",'Datos generales'!B11:C11)</f>
        <v>Indicar en la hoja de 'Datos generales'</v>
      </c>
      <c r="C4" s="366"/>
      <c r="D4" s="366"/>
      <c r="E4" s="367"/>
      <c r="F4" s="99"/>
    </row>
    <row r="5" spans="1:12" ht="24" customHeight="1" x14ac:dyDescent="0.25">
      <c r="A5" s="100"/>
      <c r="B5" s="100"/>
      <c r="C5" s="100"/>
      <c r="D5" s="101"/>
    </row>
    <row r="6" spans="1:12" ht="30.75" customHeight="1" thickBot="1" x14ac:dyDescent="0.35">
      <c r="B6" s="368"/>
      <c r="C6" s="368"/>
      <c r="D6" s="368"/>
      <c r="E6" s="368"/>
      <c r="F6" s="102"/>
      <c r="G6" s="65"/>
      <c r="H6" s="65"/>
      <c r="I6" s="103"/>
      <c r="J6" s="103"/>
      <c r="K6" s="103"/>
      <c r="L6" s="103"/>
    </row>
    <row r="7" spans="1:12" ht="55.5" customHeight="1" thickBot="1" x14ac:dyDescent="0.35">
      <c r="A7" s="104"/>
      <c r="B7" s="105" t="s">
        <v>288</v>
      </c>
      <c r="C7" s="105" t="s">
        <v>26</v>
      </c>
      <c r="D7" s="105" t="s">
        <v>415</v>
      </c>
      <c r="E7" s="106" t="s">
        <v>282</v>
      </c>
      <c r="F7" s="107"/>
      <c r="G7" s="65"/>
      <c r="H7" s="65"/>
      <c r="I7" s="103"/>
      <c r="J7" s="103"/>
      <c r="K7" s="103"/>
      <c r="L7" s="103"/>
    </row>
    <row r="8" spans="1:12" ht="42.75" customHeight="1" thickBot="1" x14ac:dyDescent="0.35">
      <c r="A8" s="108" t="s">
        <v>318</v>
      </c>
      <c r="B8" s="65"/>
      <c r="C8" s="65"/>
      <c r="D8" s="65"/>
      <c r="E8" s="65"/>
      <c r="F8" s="65"/>
      <c r="G8" s="65"/>
      <c r="H8" s="65"/>
      <c r="I8" s="109" t="s">
        <v>291</v>
      </c>
      <c r="J8" s="109" t="s">
        <v>292</v>
      </c>
      <c r="K8" s="109" t="s">
        <v>293</v>
      </c>
      <c r="L8" s="109" t="s">
        <v>294</v>
      </c>
    </row>
    <row r="9" spans="1:12" ht="27" customHeight="1" x14ac:dyDescent="0.3">
      <c r="A9" s="62" t="s">
        <v>130</v>
      </c>
      <c r="B9" s="27" t="s">
        <v>89</v>
      </c>
      <c r="C9" s="110">
        <f>IF(B9="(Campo desplegable)",0,VLOOKUP(B9,Referencias!$A$3:$B$17,2,FALSE))</f>
        <v>0</v>
      </c>
      <c r="D9" s="28">
        <v>0</v>
      </c>
      <c r="E9" s="110">
        <f>(C9*D9)</f>
        <v>0</v>
      </c>
      <c r="F9" s="111"/>
      <c r="G9" s="374" t="s">
        <v>372</v>
      </c>
      <c r="H9" s="65"/>
      <c r="I9" s="109" t="s">
        <v>295</v>
      </c>
      <c r="J9" s="109"/>
      <c r="K9" s="109"/>
      <c r="L9" s="109"/>
    </row>
    <row r="10" spans="1:12" ht="27" customHeight="1" x14ac:dyDescent="0.3">
      <c r="A10" s="62" t="s">
        <v>130</v>
      </c>
      <c r="B10" s="27" t="s">
        <v>89</v>
      </c>
      <c r="C10" s="110">
        <f>IF(B10="(Campo desplegable)",0,VLOOKUP(B10,Referencias!$A$3:$B$17,2,FALSE))</f>
        <v>0</v>
      </c>
      <c r="D10" s="28">
        <v>0</v>
      </c>
      <c r="E10" s="110">
        <f t="shared" ref="E10:E13" si="0">(C10*D10)</f>
        <v>0</v>
      </c>
      <c r="F10" s="111"/>
      <c r="G10" s="375"/>
      <c r="H10" s="65"/>
      <c r="I10" s="109" t="s">
        <v>295</v>
      </c>
      <c r="J10" s="109"/>
      <c r="K10" s="109"/>
      <c r="L10" s="109"/>
    </row>
    <row r="11" spans="1:12" ht="27" customHeight="1" thickBot="1" x14ac:dyDescent="0.35">
      <c r="A11" s="62" t="s">
        <v>130</v>
      </c>
      <c r="B11" s="27" t="s">
        <v>89</v>
      </c>
      <c r="C11" s="110">
        <f>IF(B11="(Campo desplegable)",0,VLOOKUP(B11,Referencias!$A$3:$B$17,2,FALSE))</f>
        <v>0</v>
      </c>
      <c r="D11" s="28">
        <v>0</v>
      </c>
      <c r="E11" s="110">
        <f t="shared" si="0"/>
        <v>0</v>
      </c>
      <c r="F11" s="111"/>
      <c r="G11" s="376"/>
      <c r="H11" s="65"/>
      <c r="I11" s="109" t="s">
        <v>295</v>
      </c>
      <c r="J11" s="109"/>
      <c r="K11" s="109"/>
      <c r="L11" s="109"/>
    </row>
    <row r="12" spans="1:12" ht="27" customHeight="1" thickBot="1" x14ac:dyDescent="0.35">
      <c r="A12" s="62" t="s">
        <v>130</v>
      </c>
      <c r="B12" s="27" t="s">
        <v>89</v>
      </c>
      <c r="C12" s="110">
        <f>IF(B12="(Campo desplegable)",0,VLOOKUP(B12,Referencias!$A$3:$B$17,2,FALSE))</f>
        <v>0</v>
      </c>
      <c r="D12" s="28">
        <v>0</v>
      </c>
      <c r="E12" s="110">
        <f t="shared" si="0"/>
        <v>0</v>
      </c>
      <c r="F12" s="111"/>
      <c r="G12" s="112">
        <f>SUMIF($E$9:$E$13,"&gt;0",$E$9:$E$13)</f>
        <v>0</v>
      </c>
      <c r="H12" s="65"/>
      <c r="I12" s="109" t="s">
        <v>295</v>
      </c>
      <c r="J12" s="109"/>
      <c r="K12" s="109"/>
      <c r="L12" s="109"/>
    </row>
    <row r="13" spans="1:12" ht="27" customHeight="1" x14ac:dyDescent="0.3">
      <c r="A13" s="62" t="s">
        <v>130</v>
      </c>
      <c r="B13" s="27" t="s">
        <v>89</v>
      </c>
      <c r="C13" s="110">
        <f>IF(B13="(Campo desplegable)",0,VLOOKUP(B13,Referencias!$A$3:$B$17,2,FALSE))</f>
        <v>0</v>
      </c>
      <c r="D13" s="28">
        <v>0</v>
      </c>
      <c r="E13" s="110">
        <f t="shared" si="0"/>
        <v>0</v>
      </c>
      <c r="F13" s="111"/>
      <c r="G13" s="65"/>
      <c r="H13" s="65"/>
      <c r="I13" s="109" t="s">
        <v>295</v>
      </c>
      <c r="J13" s="109"/>
      <c r="K13" s="109"/>
      <c r="L13" s="109"/>
    </row>
    <row r="14" spans="1:12" ht="42.75" customHeight="1" thickBot="1" x14ac:dyDescent="0.35">
      <c r="A14" s="113" t="s">
        <v>319</v>
      </c>
      <c r="B14" s="114"/>
      <c r="C14" s="111"/>
      <c r="D14" s="111"/>
      <c r="E14" s="111"/>
      <c r="F14" s="111"/>
      <c r="G14" s="65"/>
      <c r="H14" s="65"/>
      <c r="I14" s="103"/>
      <c r="J14" s="103"/>
      <c r="K14" s="103"/>
      <c r="L14" s="103"/>
    </row>
    <row r="15" spans="1:12" ht="27" customHeight="1" x14ac:dyDescent="0.3">
      <c r="A15" s="62" t="s">
        <v>130</v>
      </c>
      <c r="B15" s="27" t="s">
        <v>89</v>
      </c>
      <c r="C15" s="110">
        <f>IF(B15="(Campo desplegable)",0,VLOOKUP(B15,Referencias!$C$3:$D$15,2,FALSE))</f>
        <v>0</v>
      </c>
      <c r="D15" s="28">
        <v>0</v>
      </c>
      <c r="E15" s="110">
        <f>(C15*D15)</f>
        <v>0</v>
      </c>
      <c r="F15" s="111"/>
      <c r="G15" s="374" t="s">
        <v>373</v>
      </c>
      <c r="H15" s="65"/>
      <c r="I15" s="109" t="s">
        <v>295</v>
      </c>
      <c r="J15" s="109"/>
      <c r="K15" s="109"/>
      <c r="L15" s="109"/>
    </row>
    <row r="16" spans="1:12" ht="27" customHeight="1" x14ac:dyDescent="0.3">
      <c r="A16" s="62" t="s">
        <v>130</v>
      </c>
      <c r="B16" s="27" t="s">
        <v>89</v>
      </c>
      <c r="C16" s="110">
        <f>IF(B16="(Campo desplegable)",0,VLOOKUP(B16,Referencias!$C$3:$D$15,2,FALSE))</f>
        <v>0</v>
      </c>
      <c r="D16" s="28">
        <v>0</v>
      </c>
      <c r="E16" s="110">
        <f t="shared" ref="E16:E19" si="1">(C16*D16)</f>
        <v>0</v>
      </c>
      <c r="F16" s="111"/>
      <c r="G16" s="375"/>
      <c r="H16" s="65"/>
      <c r="I16" s="109" t="s">
        <v>295</v>
      </c>
      <c r="J16" s="109"/>
      <c r="K16" s="109"/>
      <c r="L16" s="109"/>
    </row>
    <row r="17" spans="1:12" ht="27" customHeight="1" thickBot="1" x14ac:dyDescent="0.35">
      <c r="A17" s="62" t="s">
        <v>130</v>
      </c>
      <c r="B17" s="27" t="s">
        <v>89</v>
      </c>
      <c r="C17" s="110">
        <f>IF(B17="(Campo desplegable)",0,VLOOKUP(B17,Referencias!$C$3:$D$15,2,FALSE))</f>
        <v>0</v>
      </c>
      <c r="D17" s="28">
        <v>0</v>
      </c>
      <c r="E17" s="110">
        <f t="shared" si="1"/>
        <v>0</v>
      </c>
      <c r="F17" s="111"/>
      <c r="G17" s="376"/>
      <c r="H17" s="115"/>
      <c r="I17" s="109" t="s">
        <v>295</v>
      </c>
      <c r="J17" s="109"/>
      <c r="K17" s="109"/>
      <c r="L17" s="109"/>
    </row>
    <row r="18" spans="1:12" ht="27" customHeight="1" thickBot="1" x14ac:dyDescent="0.35">
      <c r="A18" s="62" t="s">
        <v>130</v>
      </c>
      <c r="B18" s="27" t="s">
        <v>89</v>
      </c>
      <c r="C18" s="110">
        <f>IF(B18="(Campo desplegable)",0,VLOOKUP(B18,Referencias!$C$3:$D$15,2,FALSE))</f>
        <v>0</v>
      </c>
      <c r="D18" s="28">
        <v>0</v>
      </c>
      <c r="E18" s="110">
        <f t="shared" si="1"/>
        <v>0</v>
      </c>
      <c r="F18" s="111"/>
      <c r="G18" s="112">
        <f>SUMIF($E$15:$E$19,"&gt;0",$E$15:$E$19)</f>
        <v>0</v>
      </c>
      <c r="H18" s="65"/>
      <c r="I18" s="109" t="s">
        <v>295</v>
      </c>
      <c r="J18" s="109"/>
      <c r="K18" s="109"/>
      <c r="L18" s="109"/>
    </row>
    <row r="19" spans="1:12" ht="27" customHeight="1" x14ac:dyDescent="0.3">
      <c r="A19" s="62" t="s">
        <v>130</v>
      </c>
      <c r="B19" s="27" t="s">
        <v>89</v>
      </c>
      <c r="C19" s="110">
        <f>IF(B19="(Campo desplegable)",0,VLOOKUP(B19,Referencias!$C$3:$D$15,2,FALSE))</f>
        <v>0</v>
      </c>
      <c r="D19" s="28">
        <v>0</v>
      </c>
      <c r="E19" s="110">
        <f t="shared" si="1"/>
        <v>0</v>
      </c>
      <c r="F19" s="111"/>
      <c r="G19" s="65"/>
      <c r="H19" s="65"/>
      <c r="I19" s="109" t="s">
        <v>295</v>
      </c>
      <c r="J19" s="109"/>
      <c r="K19" s="109"/>
      <c r="L19" s="109"/>
    </row>
    <row r="20" spans="1:12" ht="42.75" customHeight="1" thickBot="1" x14ac:dyDescent="0.35">
      <c r="A20" s="116" t="s">
        <v>352</v>
      </c>
      <c r="B20" s="114"/>
      <c r="C20" s="111"/>
      <c r="D20" s="111"/>
      <c r="E20" s="111"/>
      <c r="F20" s="111"/>
      <c r="G20" s="65"/>
      <c r="H20" s="65"/>
      <c r="I20" s="103"/>
      <c r="J20" s="103"/>
      <c r="K20" s="103"/>
      <c r="L20" s="103"/>
    </row>
    <row r="21" spans="1:12" s="47" customFormat="1" ht="27" customHeight="1" x14ac:dyDescent="0.3">
      <c r="A21" s="62" t="s">
        <v>130</v>
      </c>
      <c r="B21" s="27" t="s">
        <v>89</v>
      </c>
      <c r="C21" s="110">
        <f>IF(B21="(Campo desplegable)",0,VLOOKUP(B21,Referencias!$E$3:$F$21,2,FALSE))</f>
        <v>0</v>
      </c>
      <c r="D21" s="28">
        <v>0</v>
      </c>
      <c r="E21" s="110">
        <f>(C21*D21)</f>
        <v>0</v>
      </c>
      <c r="F21" s="111"/>
      <c r="G21" s="374" t="s">
        <v>374</v>
      </c>
      <c r="H21" s="117"/>
      <c r="I21" s="109"/>
      <c r="J21" s="109" t="s">
        <v>295</v>
      </c>
      <c r="K21" s="109"/>
      <c r="L21" s="109"/>
    </row>
    <row r="22" spans="1:12" s="67" customFormat="1" ht="27" customHeight="1" x14ac:dyDescent="0.3">
      <c r="A22" s="62" t="s">
        <v>130</v>
      </c>
      <c r="B22" s="27" t="s">
        <v>89</v>
      </c>
      <c r="C22" s="110">
        <f>IF(B22="(Campo desplegable)",0,VLOOKUP(B22,Referencias!$E$3:$F$21,2,FALSE))</f>
        <v>0</v>
      </c>
      <c r="D22" s="28">
        <v>0</v>
      </c>
      <c r="E22" s="110">
        <f t="shared" ref="E22:E25" si="2">(C22*D22)</f>
        <v>0</v>
      </c>
      <c r="F22" s="111"/>
      <c r="G22" s="375"/>
      <c r="H22" s="118"/>
      <c r="I22" s="109"/>
      <c r="J22" s="109" t="s">
        <v>295</v>
      </c>
      <c r="K22" s="109"/>
      <c r="L22" s="109"/>
    </row>
    <row r="23" spans="1:12" s="67" customFormat="1" ht="27" customHeight="1" thickBot="1" x14ac:dyDescent="0.35">
      <c r="A23" s="62" t="s">
        <v>130</v>
      </c>
      <c r="B23" s="27" t="s">
        <v>89</v>
      </c>
      <c r="C23" s="110">
        <f>IF(B23="(Campo desplegable)",0,VLOOKUP(B23,Referencias!$E$3:$F$21,2,FALSE))</f>
        <v>0</v>
      </c>
      <c r="D23" s="28">
        <v>0</v>
      </c>
      <c r="E23" s="110">
        <f t="shared" si="2"/>
        <v>0</v>
      </c>
      <c r="F23" s="111"/>
      <c r="G23" s="376"/>
      <c r="H23" s="118"/>
      <c r="I23" s="109"/>
      <c r="J23" s="109" t="s">
        <v>295</v>
      </c>
      <c r="K23" s="109"/>
      <c r="L23" s="109"/>
    </row>
    <row r="24" spans="1:12" ht="27" customHeight="1" thickBot="1" x14ac:dyDescent="0.35">
      <c r="A24" s="62" t="s">
        <v>130</v>
      </c>
      <c r="B24" s="27" t="s">
        <v>89</v>
      </c>
      <c r="C24" s="110">
        <f>IF(B24="(Campo desplegable)",0,VLOOKUP(B24,Referencias!$E$3:$F$21,2,FALSE))</f>
        <v>0</v>
      </c>
      <c r="D24" s="28">
        <v>0</v>
      </c>
      <c r="E24" s="110">
        <f t="shared" si="2"/>
        <v>0</v>
      </c>
      <c r="F24" s="111"/>
      <c r="G24" s="112">
        <f>SUMIF($E$21:$E$25,"&gt;0",$E$21:$E$25)</f>
        <v>0</v>
      </c>
      <c r="H24" s="65"/>
      <c r="I24" s="109"/>
      <c r="J24" s="109" t="s">
        <v>295</v>
      </c>
      <c r="K24" s="109"/>
      <c r="L24" s="109"/>
    </row>
    <row r="25" spans="1:12" ht="27" customHeight="1" x14ac:dyDescent="0.3">
      <c r="A25" s="62" t="s">
        <v>130</v>
      </c>
      <c r="B25" s="27" t="s">
        <v>89</v>
      </c>
      <c r="C25" s="110">
        <f>IF(B25="(Campo desplegable)",0,VLOOKUP(B25,Referencias!$E$3:$F$21,2,FALSE))</f>
        <v>0</v>
      </c>
      <c r="D25" s="28">
        <v>0</v>
      </c>
      <c r="E25" s="110">
        <f t="shared" si="2"/>
        <v>0</v>
      </c>
      <c r="F25" s="111"/>
      <c r="G25" s="65"/>
      <c r="H25" s="65"/>
      <c r="I25" s="109"/>
      <c r="J25" s="109" t="s">
        <v>295</v>
      </c>
      <c r="K25" s="109"/>
      <c r="L25" s="109"/>
    </row>
    <row r="26" spans="1:12" ht="19.5" thickBot="1" x14ac:dyDescent="0.35">
      <c r="A26" s="119"/>
      <c r="B26" s="120"/>
      <c r="C26" s="121"/>
      <c r="D26" s="121"/>
      <c r="E26" s="121"/>
      <c r="F26" s="122"/>
      <c r="G26" s="123"/>
      <c r="H26" s="65"/>
      <c r="I26" s="103"/>
      <c r="J26" s="103"/>
      <c r="K26" s="103"/>
      <c r="L26" s="103"/>
    </row>
    <row r="27" spans="1:12" ht="69.75" customHeight="1" thickBot="1" x14ac:dyDescent="0.35">
      <c r="A27" s="124" t="s">
        <v>287</v>
      </c>
      <c r="B27" s="372" t="s">
        <v>375</v>
      </c>
      <c r="C27" s="373"/>
      <c r="D27" s="373"/>
      <c r="E27" s="29">
        <v>0</v>
      </c>
      <c r="F27" s="125"/>
      <c r="G27" s="126"/>
      <c r="H27" s="65"/>
      <c r="I27" s="109"/>
      <c r="J27" s="109" t="s">
        <v>295</v>
      </c>
      <c r="K27" s="109"/>
      <c r="L27" s="109"/>
    </row>
    <row r="28" spans="1:12" ht="19.5" thickBot="1" x14ac:dyDescent="0.35">
      <c r="A28" s="67"/>
      <c r="B28" s="52"/>
      <c r="C28" s="52"/>
      <c r="D28" s="52"/>
      <c r="E28" s="52"/>
      <c r="F28" s="127"/>
      <c r="G28" s="117"/>
      <c r="H28" s="65"/>
      <c r="I28" s="103"/>
      <c r="J28" s="103"/>
      <c r="K28" s="103"/>
      <c r="L28" s="103"/>
    </row>
    <row r="29" spans="1:12" ht="48.75" customHeight="1" thickBot="1" x14ac:dyDescent="0.35">
      <c r="A29" s="67"/>
      <c r="B29" s="369" t="s">
        <v>376</v>
      </c>
      <c r="C29" s="370"/>
      <c r="D29" s="371"/>
      <c r="E29" s="128" t="s">
        <v>131</v>
      </c>
      <c r="F29" s="127"/>
      <c r="G29" s="118"/>
      <c r="H29" s="65"/>
      <c r="I29" s="109" t="s">
        <v>296</v>
      </c>
      <c r="J29" s="109" t="s">
        <v>297</v>
      </c>
      <c r="K29" s="109" t="s">
        <v>298</v>
      </c>
      <c r="L29" s="109" t="s">
        <v>299</v>
      </c>
    </row>
    <row r="30" spans="1:12" ht="74.25" customHeight="1" thickBot="1" x14ac:dyDescent="0.35">
      <c r="A30" s="67"/>
      <c r="B30" s="362" t="s">
        <v>308</v>
      </c>
      <c r="C30" s="363"/>
      <c r="D30" s="364"/>
      <c r="E30" s="129">
        <f>SUM(E9:E13,E15:E19,E21:E25,E27)</f>
        <v>0</v>
      </c>
      <c r="F30" s="127"/>
      <c r="G30" s="118"/>
      <c r="H30" s="65"/>
      <c r="I30" s="130">
        <f>SUMIF(I9:I27,"X",$E$9:$E$27)</f>
        <v>0</v>
      </c>
      <c r="J30" s="130">
        <f t="shared" ref="J30:L30" si="3">SUMIF(J9:J27,"X",$E$9:$E$27)</f>
        <v>0</v>
      </c>
      <c r="K30" s="130">
        <f t="shared" si="3"/>
        <v>0</v>
      </c>
      <c r="L30" s="130">
        <f t="shared" si="3"/>
        <v>0</v>
      </c>
    </row>
  </sheetData>
  <sheetProtection algorithmName="SHA-512" hashValue="adRBZ9sVhirsl5jBC+RA/IhLAF3CF7qjZ71pLem6YaNpRxT2IjoujQEgl/0DfC0zoQvBpgKETKgNoNnzbn2EKg==" saltValue="BjlZE62xvZM0vmgG6ntcwg==" spinCount="100000" sheet="1" selectLockedCells="1"/>
  <mergeCells count="9">
    <mergeCell ref="A2:G2"/>
    <mergeCell ref="B30:D30"/>
    <mergeCell ref="B4:E4"/>
    <mergeCell ref="B6:E6"/>
    <mergeCell ref="B29:D29"/>
    <mergeCell ref="B27:D27"/>
    <mergeCell ref="G21:G23"/>
    <mergeCell ref="G15:G17"/>
    <mergeCell ref="G9:G11"/>
  </mergeCells>
  <pageMargins left="0.7" right="0.7" top="0.75" bottom="0.75" header="0.3" footer="0.3"/>
  <pageSetup paperSize="9" scale="37"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AC8B741-4736-4A54-9CAD-51EE913C6E27}">
          <x14:formula1>
            <xm:f>Referencias!$E$2:$E$23</xm:f>
          </x14:formula1>
          <xm:sqref>B21:B25</xm:sqref>
        </x14:dataValidation>
        <x14:dataValidation type="list" allowBlank="1" showInputMessage="1" showErrorMessage="1" xr:uid="{F98B2853-FB0E-4958-81F2-01AD2C927125}">
          <x14:formula1>
            <xm:f>Referencias!$A$2:$A$23</xm:f>
          </x14:formula1>
          <xm:sqref>B9:B13</xm:sqref>
        </x14:dataValidation>
        <x14:dataValidation type="list" allowBlank="1" showInputMessage="1" showErrorMessage="1" xr:uid="{E6D6EA63-7E65-4D11-809F-7491CF47E106}">
          <x14:formula1>
            <xm:f>Referencias!$C$2:$C$14</xm:f>
          </x14:formula1>
          <xm:sqref>B15:B19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6092-982D-4CE0-8F35-161AB57E91FD}">
  <sheetPr codeName="Hoja5">
    <pageSetUpPr fitToPage="1"/>
  </sheetPr>
  <dimension ref="A1:N79"/>
  <sheetViews>
    <sheetView showGridLines="0" zoomScale="80" zoomScaleNormal="80" zoomScaleSheetLayoutView="55" workbookViewId="0">
      <pane xSplit="1" topLeftCell="B1" activePane="topRight" state="frozen"/>
      <selection pane="topRight" activeCell="B7" sqref="B7:D7"/>
    </sheetView>
  </sheetViews>
  <sheetFormatPr baseColWidth="10" defaultRowHeight="15" x14ac:dyDescent="0.25"/>
  <cols>
    <col min="1" max="1" width="55.5703125" style="131" customWidth="1"/>
    <col min="2" max="2" width="55.28515625" style="131" customWidth="1"/>
    <col min="3" max="3" width="51.7109375" style="131" customWidth="1"/>
    <col min="4" max="4" width="24.140625" style="131" customWidth="1"/>
    <col min="5" max="5" width="11.42578125" style="131"/>
    <col min="6" max="6" width="49.42578125" style="131" customWidth="1"/>
    <col min="7" max="7" width="43.42578125" style="131" customWidth="1"/>
    <col min="8" max="8" width="11.42578125" style="131"/>
    <col min="9" max="12" width="0" style="131" hidden="1" customWidth="1"/>
    <col min="13" max="16384" width="11.42578125" style="131"/>
  </cols>
  <sheetData>
    <row r="1" spans="1:12" ht="79.5" customHeight="1" x14ac:dyDescent="0.25">
      <c r="B1" s="329"/>
    </row>
    <row r="2" spans="1:12" ht="30" customHeight="1" x14ac:dyDescent="0.5">
      <c r="A2" s="377" t="s">
        <v>379</v>
      </c>
      <c r="B2" s="378"/>
      <c r="C2" s="378"/>
      <c r="D2" s="378"/>
      <c r="E2" s="378"/>
      <c r="F2" s="378"/>
      <c r="G2" s="132"/>
    </row>
    <row r="3" spans="1:12" ht="13.5" customHeight="1" thickBot="1" x14ac:dyDescent="0.55000000000000004">
      <c r="A3" s="133"/>
      <c r="B3" s="133"/>
      <c r="C3" s="133"/>
      <c r="D3" s="133"/>
      <c r="E3" s="133"/>
      <c r="F3" s="133"/>
      <c r="G3" s="133"/>
      <c r="H3" s="133"/>
      <c r="I3" s="133"/>
      <c r="J3" s="133"/>
    </row>
    <row r="4" spans="1:12" s="136" customFormat="1" ht="48.75" customHeight="1" thickBot="1" x14ac:dyDescent="0.3">
      <c r="A4" s="134" t="s">
        <v>511</v>
      </c>
      <c r="B4" s="389" t="str">
        <f>IF('Datos generales'!B11:C11="(Campo desplegable)","Indicar en la hoja de 'Datos generales'",'Datos generales'!B11:C11)</f>
        <v>Indicar en la hoja de 'Datos generales'</v>
      </c>
      <c r="C4" s="390"/>
      <c r="D4" s="391"/>
      <c r="E4" s="135"/>
      <c r="F4" s="131"/>
      <c r="H4" s="137"/>
      <c r="I4" s="137"/>
    </row>
    <row r="5" spans="1:12" s="136" customFormat="1" ht="16.5" customHeight="1" x14ac:dyDescent="0.25">
      <c r="A5" s="138"/>
      <c r="B5" s="139"/>
      <c r="C5" s="140"/>
      <c r="D5" s="140"/>
      <c r="H5" s="137"/>
      <c r="I5" s="137"/>
    </row>
    <row r="6" spans="1:12" s="136" customFormat="1" ht="60" customHeight="1" thickBot="1" x14ac:dyDescent="0.4">
      <c r="A6" s="138"/>
      <c r="B6" s="392" t="s">
        <v>321</v>
      </c>
      <c r="C6" s="392"/>
      <c r="D6" s="392"/>
      <c r="E6" s="141"/>
      <c r="F6" s="142" t="s">
        <v>520</v>
      </c>
      <c r="G6" s="143"/>
      <c r="H6" s="137"/>
      <c r="I6" s="137"/>
    </row>
    <row r="7" spans="1:12" s="136" customFormat="1" ht="21.75" customHeight="1" thickBot="1" x14ac:dyDescent="0.3">
      <c r="A7" s="144" t="s">
        <v>40</v>
      </c>
      <c r="B7" s="393" t="s">
        <v>44</v>
      </c>
      <c r="C7" s="393"/>
      <c r="D7" s="393"/>
      <c r="E7" s="145" t="s">
        <v>69</v>
      </c>
      <c r="F7" s="146" t="s">
        <v>70</v>
      </c>
      <c r="G7" s="147"/>
      <c r="H7" s="137"/>
      <c r="I7" s="137"/>
    </row>
    <row r="8" spans="1:12" s="136" customFormat="1" ht="21.75" customHeight="1" thickBot="1" x14ac:dyDescent="0.3">
      <c r="A8" s="144" t="s">
        <v>41</v>
      </c>
      <c r="B8" s="394" t="s">
        <v>44</v>
      </c>
      <c r="C8" s="395"/>
      <c r="D8" s="396"/>
      <c r="E8" s="145" t="s">
        <v>69</v>
      </c>
      <c r="F8" s="148" t="s">
        <v>71</v>
      </c>
      <c r="G8" s="147"/>
      <c r="I8" s="137"/>
    </row>
    <row r="9" spans="1:12" s="136" customFormat="1" ht="21.75" customHeight="1" thickBot="1" x14ac:dyDescent="0.3">
      <c r="A9" s="144" t="s">
        <v>42</v>
      </c>
      <c r="B9" s="394" t="s">
        <v>44</v>
      </c>
      <c r="C9" s="395"/>
      <c r="D9" s="396"/>
      <c r="E9" s="145" t="s">
        <v>69</v>
      </c>
      <c r="F9" s="148" t="s">
        <v>72</v>
      </c>
      <c r="G9" s="147"/>
    </row>
    <row r="10" spans="1:12" s="136" customFormat="1" ht="21.75" customHeight="1" thickBot="1" x14ac:dyDescent="0.3">
      <c r="A10" s="144" t="s">
        <v>43</v>
      </c>
      <c r="B10" s="394" t="s">
        <v>44</v>
      </c>
      <c r="C10" s="395"/>
      <c r="D10" s="396"/>
      <c r="E10" s="145" t="s">
        <v>69</v>
      </c>
      <c r="F10" s="149" t="s">
        <v>73</v>
      </c>
      <c r="G10" s="147"/>
    </row>
    <row r="11" spans="1:12" s="136" customFormat="1" ht="30.75" customHeight="1" x14ac:dyDescent="0.25">
      <c r="B11" s="131"/>
      <c r="C11" s="131"/>
      <c r="D11" s="131"/>
      <c r="F11" s="150"/>
      <c r="G11" s="140"/>
    </row>
    <row r="12" spans="1:12" ht="49.5" customHeight="1" thickBot="1" x14ac:dyDescent="0.45">
      <c r="A12" s="151" t="str">
        <f>IF(B7="Campo rellenable de descripción de la instalación/infraestructura","Campo automático",A7&amp;": "&amp;B7)</f>
        <v>Campo automático</v>
      </c>
      <c r="B12" s="403" t="s">
        <v>65</v>
      </c>
      <c r="C12" s="403"/>
      <c r="D12" s="403"/>
      <c r="E12" s="152"/>
      <c r="F12" s="152"/>
      <c r="G12" s="153"/>
    </row>
    <row r="13" spans="1:12" ht="32.25" thickBot="1" x14ac:dyDescent="0.3">
      <c r="A13" s="154" t="s">
        <v>7</v>
      </c>
      <c r="B13" s="404" t="s">
        <v>342</v>
      </c>
      <c r="C13" s="405"/>
      <c r="D13" s="406"/>
      <c r="E13" s="155"/>
      <c r="F13" s="152"/>
      <c r="G13" s="152"/>
    </row>
    <row r="14" spans="1:12" ht="60.75" customHeight="1" x14ac:dyDescent="0.25">
      <c r="A14" s="156" t="s">
        <v>0</v>
      </c>
      <c r="B14" s="401" t="s">
        <v>322</v>
      </c>
      <c r="C14" s="402"/>
      <c r="D14" s="178" t="s">
        <v>89</v>
      </c>
      <c r="E14" s="137"/>
      <c r="I14" s="157" t="s">
        <v>291</v>
      </c>
      <c r="J14" s="157" t="s">
        <v>292</v>
      </c>
      <c r="K14" s="157" t="s">
        <v>293</v>
      </c>
      <c r="L14" s="157" t="s">
        <v>294</v>
      </c>
    </row>
    <row r="15" spans="1:12" ht="34.5" customHeight="1" x14ac:dyDescent="0.25">
      <c r="A15" s="158"/>
      <c r="B15" s="379" t="s">
        <v>394</v>
      </c>
      <c r="C15" s="379"/>
      <c r="D15" s="179">
        <v>0</v>
      </c>
      <c r="E15" s="137"/>
      <c r="I15" s="159" t="str">
        <f>IF(D14="Medida con un contador","X","")</f>
        <v/>
      </c>
      <c r="J15" s="159" t="str">
        <f>IF(D14="Estimada mediante facturas","X","")</f>
        <v/>
      </c>
      <c r="K15" s="159" t="s">
        <v>295</v>
      </c>
      <c r="L15" s="159"/>
    </row>
    <row r="16" spans="1:12" ht="99" customHeight="1" x14ac:dyDescent="0.25">
      <c r="A16" s="156" t="s">
        <v>133</v>
      </c>
      <c r="B16" s="380" t="s">
        <v>323</v>
      </c>
      <c r="C16" s="381"/>
      <c r="D16" s="179">
        <v>0</v>
      </c>
      <c r="E16" s="137"/>
      <c r="I16" s="159" t="s">
        <v>295</v>
      </c>
      <c r="J16" s="159"/>
      <c r="K16" s="159" t="s">
        <v>295</v>
      </c>
      <c r="L16" s="159"/>
    </row>
    <row r="17" spans="1:14" ht="75.75" customHeight="1" x14ac:dyDescent="0.25">
      <c r="A17" s="156"/>
      <c r="B17" s="160" t="s">
        <v>52</v>
      </c>
      <c r="C17" s="388"/>
      <c r="D17" s="388"/>
      <c r="E17" s="137"/>
      <c r="G17" s="161"/>
      <c r="I17" s="162"/>
      <c r="J17" s="162"/>
      <c r="K17" s="162"/>
      <c r="L17" s="162"/>
    </row>
    <row r="18" spans="1:14" ht="99" customHeight="1" x14ac:dyDescent="0.25">
      <c r="A18" s="156"/>
      <c r="B18" s="380" t="s">
        <v>395</v>
      </c>
      <c r="C18" s="381"/>
      <c r="D18" s="179">
        <v>0</v>
      </c>
      <c r="E18" s="137"/>
      <c r="I18" s="159" t="s">
        <v>295</v>
      </c>
      <c r="J18" s="159"/>
      <c r="K18" s="159" t="s">
        <v>295</v>
      </c>
      <c r="L18" s="159"/>
    </row>
    <row r="19" spans="1:14" ht="75.75" customHeight="1" x14ac:dyDescent="0.25">
      <c r="A19" s="156"/>
      <c r="B19" s="160" t="s">
        <v>52</v>
      </c>
      <c r="C19" s="388"/>
      <c r="D19" s="388"/>
      <c r="E19" s="137"/>
      <c r="G19" s="161"/>
      <c r="I19" s="162"/>
      <c r="J19" s="162"/>
      <c r="K19" s="162"/>
      <c r="L19" s="162"/>
    </row>
    <row r="20" spans="1:14" ht="75.75" customHeight="1" x14ac:dyDescent="0.25">
      <c r="A20" s="156"/>
      <c r="B20" s="380" t="s">
        <v>396</v>
      </c>
      <c r="C20" s="381"/>
      <c r="D20" s="180">
        <v>0</v>
      </c>
      <c r="E20" s="137"/>
      <c r="I20" s="159"/>
      <c r="J20" s="159" t="s">
        <v>295</v>
      </c>
      <c r="K20" s="159" t="s">
        <v>295</v>
      </c>
      <c r="L20" s="159"/>
    </row>
    <row r="21" spans="1:14" ht="78" customHeight="1" x14ac:dyDescent="0.25">
      <c r="A21" s="158"/>
      <c r="B21" s="160" t="s">
        <v>52</v>
      </c>
      <c r="C21" s="388"/>
      <c r="D21" s="388"/>
      <c r="E21" s="137"/>
      <c r="F21" s="163"/>
      <c r="I21" s="162"/>
      <c r="J21" s="162"/>
      <c r="K21" s="162"/>
      <c r="L21" s="162"/>
    </row>
    <row r="22" spans="1:14" ht="78" customHeight="1" x14ac:dyDescent="0.25">
      <c r="A22" s="158" t="s">
        <v>134</v>
      </c>
      <c r="B22" s="380" t="s">
        <v>284</v>
      </c>
      <c r="C22" s="381"/>
      <c r="D22" s="181" t="s">
        <v>89</v>
      </c>
      <c r="E22" s="137"/>
      <c r="I22" s="162"/>
      <c r="J22" s="162"/>
      <c r="K22" s="162"/>
      <c r="L22" s="162"/>
      <c r="N22" s="164"/>
    </row>
    <row r="23" spans="1:14" ht="34.5" customHeight="1" x14ac:dyDescent="0.25">
      <c r="A23" s="156" t="s">
        <v>5</v>
      </c>
      <c r="B23" s="379" t="s">
        <v>324</v>
      </c>
      <c r="C23" s="379"/>
      <c r="D23" s="179">
        <v>0</v>
      </c>
      <c r="E23" s="137"/>
      <c r="F23" s="165"/>
      <c r="G23" s="166"/>
      <c r="H23" s="166"/>
      <c r="I23" s="159" t="str">
        <f>IF($D$22="SI","X","")</f>
        <v/>
      </c>
      <c r="J23" s="159" t="str">
        <f>IF($D$22="NO","X","")</f>
        <v/>
      </c>
      <c r="K23" s="159"/>
      <c r="L23" s="159"/>
    </row>
    <row r="24" spans="1:14" ht="34.5" customHeight="1" x14ac:dyDescent="0.25">
      <c r="A24" s="156"/>
      <c r="B24" s="382" t="s">
        <v>329</v>
      </c>
      <c r="C24" s="383"/>
      <c r="D24" s="179">
        <v>0</v>
      </c>
      <c r="E24" s="137"/>
      <c r="F24" s="165"/>
      <c r="G24" s="166"/>
      <c r="H24" s="166"/>
      <c r="I24" s="167"/>
      <c r="J24" s="159" t="str">
        <f>IF(OR(D22="(Campo desplegable)",D22="SI"),"","X")</f>
        <v/>
      </c>
      <c r="K24" s="159"/>
      <c r="L24" s="159"/>
    </row>
    <row r="25" spans="1:14" ht="34.5" customHeight="1" x14ac:dyDescent="0.25">
      <c r="A25" s="168" t="s">
        <v>132</v>
      </c>
      <c r="B25" s="379" t="s">
        <v>326</v>
      </c>
      <c r="C25" s="379"/>
      <c r="D25" s="179">
        <v>0</v>
      </c>
      <c r="E25" s="137"/>
      <c r="F25" s="166"/>
      <c r="G25" s="166"/>
      <c r="H25" s="166"/>
      <c r="I25" s="159" t="str">
        <f>IF($D$22="SI","X","")</f>
        <v/>
      </c>
      <c r="J25" s="159" t="str">
        <f>IF($D$22="NO","X","")</f>
        <v/>
      </c>
      <c r="K25" s="159" t="s">
        <v>295</v>
      </c>
      <c r="L25" s="159"/>
    </row>
    <row r="26" spans="1:14" ht="34.5" customHeight="1" thickBot="1" x14ac:dyDescent="0.3">
      <c r="A26" s="169" t="s">
        <v>6</v>
      </c>
      <c r="B26" s="386" t="s">
        <v>327</v>
      </c>
      <c r="C26" s="386"/>
      <c r="D26" s="182">
        <v>0</v>
      </c>
      <c r="E26" s="137"/>
      <c r="F26" s="166"/>
      <c r="G26" s="166"/>
      <c r="H26" s="166"/>
      <c r="I26" s="159" t="str">
        <f>IF($D$22="SI","X","")</f>
        <v/>
      </c>
      <c r="J26" s="159" t="str">
        <f>IF($D$22="NO","X","")</f>
        <v/>
      </c>
      <c r="K26" s="159"/>
      <c r="L26" s="159"/>
    </row>
    <row r="27" spans="1:14" ht="65.25" customHeight="1" thickBot="1" x14ac:dyDescent="0.35">
      <c r="A27" s="170" t="s">
        <v>380</v>
      </c>
      <c r="B27" s="384" t="s">
        <v>69</v>
      </c>
      <c r="C27" s="385"/>
      <c r="D27" s="15">
        <f>IF(D22="SI",SUM(D15,D16,D18,D20,D23,D25,D26),SUM(D15,D16,D18,D20,D23:D26))</f>
        <v>0</v>
      </c>
      <c r="E27" s="140"/>
      <c r="I27" s="162"/>
      <c r="J27" s="162"/>
      <c r="K27" s="162"/>
      <c r="L27" s="162"/>
    </row>
    <row r="28" spans="1:14" ht="49.5" customHeight="1" thickBot="1" x14ac:dyDescent="0.4">
      <c r="A28" s="151" t="str">
        <f>IF(B8="Campo rellenable de descripción de la instalación/infraestructura","Campo automático",A8&amp;": "&amp;B8)</f>
        <v>Campo automático</v>
      </c>
      <c r="B28" s="387"/>
      <c r="C28" s="387"/>
      <c r="D28" s="387"/>
      <c r="E28" s="152"/>
      <c r="F28" s="171" t="s">
        <v>276</v>
      </c>
      <c r="G28" s="152"/>
      <c r="I28" s="162"/>
      <c r="J28" s="162"/>
      <c r="K28" s="162"/>
      <c r="L28" s="162"/>
    </row>
    <row r="29" spans="1:14" ht="32.25" thickBot="1" x14ac:dyDescent="0.3">
      <c r="A29" s="154" t="s">
        <v>45</v>
      </c>
      <c r="B29" s="404" t="s">
        <v>342</v>
      </c>
      <c r="C29" s="405"/>
      <c r="D29" s="406"/>
      <c r="E29" s="155"/>
      <c r="F29" s="152"/>
      <c r="G29" s="152"/>
      <c r="I29" s="162"/>
      <c r="J29" s="162"/>
      <c r="K29" s="162"/>
      <c r="L29" s="162"/>
    </row>
    <row r="30" spans="1:14" ht="60.75" customHeight="1" x14ac:dyDescent="0.25">
      <c r="A30" s="156" t="s">
        <v>0</v>
      </c>
      <c r="B30" s="401" t="s">
        <v>322</v>
      </c>
      <c r="C30" s="402"/>
      <c r="D30" s="178" t="s">
        <v>89</v>
      </c>
      <c r="E30" s="137"/>
      <c r="I30" s="162"/>
      <c r="J30" s="162"/>
      <c r="K30" s="162"/>
      <c r="L30" s="162"/>
    </row>
    <row r="31" spans="1:14" ht="34.5" customHeight="1" x14ac:dyDescent="0.25">
      <c r="A31" s="158"/>
      <c r="B31" s="379" t="s">
        <v>394</v>
      </c>
      <c r="C31" s="379"/>
      <c r="D31" s="179">
        <v>0</v>
      </c>
      <c r="E31" s="137"/>
      <c r="I31" s="159" t="str">
        <f>IF($D30="Medida con un contador","X","")</f>
        <v/>
      </c>
      <c r="J31" s="159" t="str">
        <f>IF($D30="Estimada mediante facturas","X","")</f>
        <v/>
      </c>
      <c r="K31" s="159" t="s">
        <v>295</v>
      </c>
      <c r="L31" s="159"/>
    </row>
    <row r="32" spans="1:14" ht="99" customHeight="1" x14ac:dyDescent="0.25">
      <c r="A32" s="156" t="s">
        <v>133</v>
      </c>
      <c r="B32" s="380" t="s">
        <v>323</v>
      </c>
      <c r="C32" s="381"/>
      <c r="D32" s="179">
        <v>0</v>
      </c>
      <c r="E32" s="137"/>
      <c r="I32" s="159" t="s">
        <v>295</v>
      </c>
      <c r="J32" s="159"/>
      <c r="K32" s="159" t="s">
        <v>295</v>
      </c>
      <c r="L32" s="159"/>
    </row>
    <row r="33" spans="1:12" ht="75.75" customHeight="1" x14ac:dyDescent="0.25">
      <c r="A33" s="156"/>
      <c r="B33" s="160" t="s">
        <v>52</v>
      </c>
      <c r="C33" s="388"/>
      <c r="D33" s="388"/>
      <c r="E33" s="137"/>
      <c r="G33" s="161"/>
      <c r="I33" s="162"/>
      <c r="J33" s="162"/>
      <c r="K33" s="162"/>
      <c r="L33" s="162"/>
    </row>
    <row r="34" spans="1:12" ht="99" customHeight="1" x14ac:dyDescent="0.25">
      <c r="A34" s="156"/>
      <c r="B34" s="380" t="s">
        <v>395</v>
      </c>
      <c r="C34" s="381"/>
      <c r="D34" s="179">
        <v>0</v>
      </c>
      <c r="E34" s="137"/>
      <c r="I34" s="159" t="s">
        <v>295</v>
      </c>
      <c r="J34" s="159"/>
      <c r="K34" s="159" t="s">
        <v>295</v>
      </c>
      <c r="L34" s="159"/>
    </row>
    <row r="35" spans="1:12" ht="75.75" customHeight="1" x14ac:dyDescent="0.25">
      <c r="A35" s="156"/>
      <c r="B35" s="160" t="s">
        <v>52</v>
      </c>
      <c r="C35" s="388"/>
      <c r="D35" s="388"/>
      <c r="E35" s="137"/>
      <c r="G35" s="161"/>
      <c r="I35" s="162"/>
      <c r="J35" s="162"/>
      <c r="K35" s="162"/>
      <c r="L35" s="162"/>
    </row>
    <row r="36" spans="1:12" ht="75.75" customHeight="1" x14ac:dyDescent="0.25">
      <c r="A36" s="156"/>
      <c r="B36" s="380" t="s">
        <v>397</v>
      </c>
      <c r="C36" s="381"/>
      <c r="D36" s="180">
        <v>0</v>
      </c>
      <c r="E36" s="137"/>
      <c r="I36" s="159"/>
      <c r="J36" s="159" t="s">
        <v>295</v>
      </c>
      <c r="K36" s="159" t="s">
        <v>295</v>
      </c>
      <c r="L36" s="159"/>
    </row>
    <row r="37" spans="1:12" ht="78" customHeight="1" x14ac:dyDescent="0.25">
      <c r="A37" s="158"/>
      <c r="B37" s="160" t="s">
        <v>52</v>
      </c>
      <c r="C37" s="388"/>
      <c r="D37" s="388"/>
      <c r="E37" s="137"/>
      <c r="F37" s="163"/>
      <c r="I37" s="162"/>
      <c r="J37" s="162"/>
      <c r="K37" s="162"/>
      <c r="L37" s="162"/>
    </row>
    <row r="38" spans="1:12" ht="78" customHeight="1" x14ac:dyDescent="0.25">
      <c r="A38" s="158" t="s">
        <v>134</v>
      </c>
      <c r="B38" s="380" t="s">
        <v>284</v>
      </c>
      <c r="C38" s="381"/>
      <c r="D38" s="181" t="s">
        <v>89</v>
      </c>
      <c r="E38" s="137"/>
      <c r="F38" s="163"/>
      <c r="I38" s="162"/>
      <c r="J38" s="162"/>
      <c r="K38" s="162"/>
      <c r="L38" s="162"/>
    </row>
    <row r="39" spans="1:12" ht="34.5" customHeight="1" x14ac:dyDescent="0.25">
      <c r="A39" s="156" t="s">
        <v>5</v>
      </c>
      <c r="B39" s="379" t="s">
        <v>324</v>
      </c>
      <c r="C39" s="379"/>
      <c r="D39" s="179">
        <v>0</v>
      </c>
      <c r="E39" s="137"/>
      <c r="F39" s="165"/>
      <c r="G39" s="166"/>
      <c r="H39" s="166"/>
      <c r="I39" s="159" t="str">
        <f>IF($D38="SI","X","")</f>
        <v/>
      </c>
      <c r="J39" s="159" t="str">
        <f>IF($D38="NO","X","")</f>
        <v/>
      </c>
      <c r="K39" s="159"/>
      <c r="L39" s="159"/>
    </row>
    <row r="40" spans="1:12" ht="34.5" customHeight="1" x14ac:dyDescent="0.25">
      <c r="A40" s="156"/>
      <c r="B40" s="382" t="s">
        <v>325</v>
      </c>
      <c r="C40" s="383"/>
      <c r="D40" s="179">
        <v>0</v>
      </c>
      <c r="E40" s="137"/>
      <c r="F40" s="165"/>
      <c r="G40" s="166"/>
      <c r="H40" s="166"/>
      <c r="I40" s="167"/>
      <c r="J40" s="159" t="str">
        <f>IF(OR(D38="(Campo desplegable)",D38="SI"),"","X")</f>
        <v/>
      </c>
      <c r="K40" s="159"/>
      <c r="L40" s="159"/>
    </row>
    <row r="41" spans="1:12" ht="34.5" customHeight="1" x14ac:dyDescent="0.25">
      <c r="A41" s="168" t="s">
        <v>132</v>
      </c>
      <c r="B41" s="379" t="s">
        <v>326</v>
      </c>
      <c r="C41" s="379"/>
      <c r="D41" s="179">
        <v>0</v>
      </c>
      <c r="E41" s="137"/>
      <c r="F41" s="166"/>
      <c r="G41" s="166"/>
      <c r="H41" s="166"/>
      <c r="I41" s="159" t="str">
        <f>IF($D38="SI","X","")</f>
        <v/>
      </c>
      <c r="J41" s="159" t="str">
        <f>IF($D38="NO","X","")</f>
        <v/>
      </c>
      <c r="K41" s="159" t="s">
        <v>295</v>
      </c>
      <c r="L41" s="159"/>
    </row>
    <row r="42" spans="1:12" ht="34.5" customHeight="1" thickBot="1" x14ac:dyDescent="0.3">
      <c r="A42" s="169" t="s">
        <v>6</v>
      </c>
      <c r="B42" s="386" t="s">
        <v>327</v>
      </c>
      <c r="C42" s="386"/>
      <c r="D42" s="182">
        <v>0</v>
      </c>
      <c r="E42" s="137"/>
      <c r="F42" s="166"/>
      <c r="G42" s="166"/>
      <c r="H42" s="166"/>
      <c r="I42" s="159" t="str">
        <f>IF($D38="SI","X","")</f>
        <v/>
      </c>
      <c r="J42" s="159" t="str">
        <f>IF($D38="NO","X","")</f>
        <v/>
      </c>
      <c r="K42" s="159"/>
      <c r="L42" s="159"/>
    </row>
    <row r="43" spans="1:12" ht="65.25" customHeight="1" thickBot="1" x14ac:dyDescent="0.35">
      <c r="A43" s="170" t="s">
        <v>381</v>
      </c>
      <c r="B43" s="384" t="s">
        <v>69</v>
      </c>
      <c r="C43" s="385"/>
      <c r="D43" s="15">
        <f>IF(D38="SI",SUM(D31,D32,D34,D36,D39,D41,D42),SUM(D31,D32,D34,D36,D39:D42))</f>
        <v>0</v>
      </c>
      <c r="E43" s="140"/>
      <c r="I43" s="162"/>
      <c r="J43" s="162"/>
      <c r="K43" s="162"/>
      <c r="L43" s="162"/>
    </row>
    <row r="44" spans="1:12" ht="49.5" customHeight="1" thickBot="1" x14ac:dyDescent="0.4">
      <c r="A44" s="151" t="str">
        <f>IF(B9="Campo rellenable de descripción de la instalación/infraestructura","Campo automático",A9&amp;": "&amp;B9)</f>
        <v>Campo automático</v>
      </c>
      <c r="B44" s="387"/>
      <c r="C44" s="387"/>
      <c r="D44" s="387"/>
      <c r="E44" s="152"/>
      <c r="F44" s="171" t="s">
        <v>276</v>
      </c>
      <c r="G44" s="152"/>
      <c r="I44" s="162"/>
      <c r="J44" s="162"/>
      <c r="K44" s="162"/>
      <c r="L44" s="162"/>
    </row>
    <row r="45" spans="1:12" ht="32.25" thickBot="1" x14ac:dyDescent="0.3">
      <c r="A45" s="154" t="s">
        <v>46</v>
      </c>
      <c r="B45" s="404" t="s">
        <v>342</v>
      </c>
      <c r="C45" s="405"/>
      <c r="D45" s="406"/>
      <c r="E45" s="155"/>
      <c r="F45" s="152"/>
      <c r="G45" s="152"/>
      <c r="I45" s="162"/>
      <c r="J45" s="162"/>
      <c r="K45" s="162"/>
      <c r="L45" s="162"/>
    </row>
    <row r="46" spans="1:12" ht="60.75" customHeight="1" x14ac:dyDescent="0.25">
      <c r="A46" s="156" t="s">
        <v>0</v>
      </c>
      <c r="B46" s="401" t="s">
        <v>322</v>
      </c>
      <c r="C46" s="402"/>
      <c r="D46" s="178" t="s">
        <v>89</v>
      </c>
      <c r="E46" s="137"/>
      <c r="I46" s="162"/>
      <c r="J46" s="162"/>
      <c r="K46" s="162"/>
      <c r="L46" s="162"/>
    </row>
    <row r="47" spans="1:12" ht="34.5" customHeight="1" x14ac:dyDescent="0.25">
      <c r="A47" s="158"/>
      <c r="B47" s="379" t="s">
        <v>394</v>
      </c>
      <c r="C47" s="379"/>
      <c r="D47" s="179">
        <v>0</v>
      </c>
      <c r="E47" s="137"/>
      <c r="I47" s="159" t="str">
        <f>IF($D46="Medida con un contador","X","")</f>
        <v/>
      </c>
      <c r="J47" s="159" t="str">
        <f>IF($D46="Estimada mediante facturas","X","")</f>
        <v/>
      </c>
      <c r="K47" s="159" t="s">
        <v>295</v>
      </c>
      <c r="L47" s="159"/>
    </row>
    <row r="48" spans="1:12" ht="99" customHeight="1" x14ac:dyDescent="0.25">
      <c r="A48" s="156" t="s">
        <v>133</v>
      </c>
      <c r="B48" s="380" t="s">
        <v>328</v>
      </c>
      <c r="C48" s="381"/>
      <c r="D48" s="179">
        <v>0</v>
      </c>
      <c r="E48" s="137"/>
      <c r="I48" s="159" t="s">
        <v>295</v>
      </c>
      <c r="J48" s="159"/>
      <c r="K48" s="159" t="s">
        <v>295</v>
      </c>
      <c r="L48" s="159"/>
    </row>
    <row r="49" spans="1:12" ht="75.75" customHeight="1" x14ac:dyDescent="0.25">
      <c r="A49" s="156"/>
      <c r="B49" s="160" t="s">
        <v>52</v>
      </c>
      <c r="C49" s="388"/>
      <c r="D49" s="388"/>
      <c r="E49" s="137"/>
      <c r="G49" s="161"/>
      <c r="I49" s="162"/>
      <c r="J49" s="162"/>
      <c r="K49" s="162"/>
      <c r="L49" s="162"/>
    </row>
    <row r="50" spans="1:12" ht="99" customHeight="1" x14ac:dyDescent="0.25">
      <c r="A50" s="156"/>
      <c r="B50" s="380" t="s">
        <v>395</v>
      </c>
      <c r="C50" s="381"/>
      <c r="D50" s="179">
        <v>0</v>
      </c>
      <c r="E50" s="137"/>
      <c r="I50" s="159" t="s">
        <v>295</v>
      </c>
      <c r="J50" s="159"/>
      <c r="K50" s="159" t="s">
        <v>295</v>
      </c>
      <c r="L50" s="159"/>
    </row>
    <row r="51" spans="1:12" ht="75.75" customHeight="1" x14ac:dyDescent="0.25">
      <c r="A51" s="156"/>
      <c r="B51" s="160" t="s">
        <v>52</v>
      </c>
      <c r="C51" s="388"/>
      <c r="D51" s="388"/>
      <c r="E51" s="137"/>
      <c r="G51" s="161"/>
      <c r="I51" s="162"/>
      <c r="J51" s="162"/>
      <c r="K51" s="162"/>
      <c r="L51" s="162"/>
    </row>
    <row r="52" spans="1:12" ht="75.75" customHeight="1" x14ac:dyDescent="0.25">
      <c r="A52" s="156"/>
      <c r="B52" s="380" t="s">
        <v>398</v>
      </c>
      <c r="C52" s="381"/>
      <c r="D52" s="180">
        <v>0</v>
      </c>
      <c r="E52" s="137"/>
      <c r="I52" s="159"/>
      <c r="J52" s="159" t="s">
        <v>295</v>
      </c>
      <c r="K52" s="159" t="s">
        <v>295</v>
      </c>
      <c r="L52" s="159"/>
    </row>
    <row r="53" spans="1:12" ht="78" customHeight="1" x14ac:dyDescent="0.25">
      <c r="A53" s="158"/>
      <c r="B53" s="160" t="s">
        <v>52</v>
      </c>
      <c r="C53" s="388"/>
      <c r="D53" s="388"/>
      <c r="E53" s="137"/>
      <c r="F53" s="163"/>
      <c r="I53" s="162"/>
      <c r="J53" s="162"/>
      <c r="K53" s="162"/>
      <c r="L53" s="162"/>
    </row>
    <row r="54" spans="1:12" ht="78" customHeight="1" x14ac:dyDescent="0.25">
      <c r="A54" s="158" t="s">
        <v>134</v>
      </c>
      <c r="B54" s="380" t="s">
        <v>284</v>
      </c>
      <c r="C54" s="381"/>
      <c r="D54" s="181" t="s">
        <v>89</v>
      </c>
      <c r="E54" s="137"/>
      <c r="F54" s="163"/>
      <c r="I54" s="162"/>
      <c r="J54" s="162"/>
      <c r="K54" s="162"/>
      <c r="L54" s="162"/>
    </row>
    <row r="55" spans="1:12" ht="34.5" customHeight="1" x14ac:dyDescent="0.25">
      <c r="A55" s="156" t="s">
        <v>5</v>
      </c>
      <c r="B55" s="379" t="s">
        <v>324</v>
      </c>
      <c r="C55" s="379"/>
      <c r="D55" s="179">
        <v>0</v>
      </c>
      <c r="E55" s="137"/>
      <c r="F55" s="165"/>
      <c r="G55" s="166"/>
      <c r="H55" s="166"/>
      <c r="I55" s="159" t="str">
        <f>IF($D54="SI","X","")</f>
        <v/>
      </c>
      <c r="J55" s="159" t="str">
        <f>IF($D54="NO","X","")</f>
        <v/>
      </c>
      <c r="K55" s="159"/>
      <c r="L55" s="159"/>
    </row>
    <row r="56" spans="1:12" ht="34.5" customHeight="1" x14ac:dyDescent="0.25">
      <c r="A56" s="156"/>
      <c r="B56" s="382" t="s">
        <v>329</v>
      </c>
      <c r="C56" s="383"/>
      <c r="D56" s="179">
        <v>0</v>
      </c>
      <c r="E56" s="137"/>
      <c r="F56" s="165"/>
      <c r="G56" s="166"/>
      <c r="H56" s="166"/>
      <c r="I56" s="167"/>
      <c r="J56" s="159" t="str">
        <f>IF(OR(D54="(Campo desplegable)",D54="SI"),"","X")</f>
        <v/>
      </c>
      <c r="K56" s="159"/>
      <c r="L56" s="159"/>
    </row>
    <row r="57" spans="1:12" ht="34.5" customHeight="1" x14ac:dyDescent="0.25">
      <c r="A57" s="168" t="s">
        <v>132</v>
      </c>
      <c r="B57" s="379" t="s">
        <v>326</v>
      </c>
      <c r="C57" s="379"/>
      <c r="D57" s="179">
        <v>0</v>
      </c>
      <c r="E57" s="137"/>
      <c r="F57" s="166"/>
      <c r="G57" s="166"/>
      <c r="H57" s="166"/>
      <c r="I57" s="159" t="str">
        <f>IF($D54="SI","X","")</f>
        <v/>
      </c>
      <c r="J57" s="159" t="str">
        <f>IF($D54="NO","X","")</f>
        <v/>
      </c>
      <c r="K57" s="159" t="s">
        <v>295</v>
      </c>
      <c r="L57" s="159"/>
    </row>
    <row r="58" spans="1:12" ht="34.5" customHeight="1" thickBot="1" x14ac:dyDescent="0.3">
      <c r="A58" s="169" t="s">
        <v>6</v>
      </c>
      <c r="B58" s="386" t="s">
        <v>327</v>
      </c>
      <c r="C58" s="386"/>
      <c r="D58" s="182">
        <v>0</v>
      </c>
      <c r="E58" s="137"/>
      <c r="F58" s="166"/>
      <c r="G58" s="166"/>
      <c r="H58" s="166"/>
      <c r="I58" s="159" t="str">
        <f>IF($D54="SI","X","")</f>
        <v/>
      </c>
      <c r="J58" s="159" t="str">
        <f>IF($D54="NO","X","")</f>
        <v/>
      </c>
      <c r="K58" s="159"/>
      <c r="L58" s="159"/>
    </row>
    <row r="59" spans="1:12" ht="65.25" customHeight="1" thickBot="1" x14ac:dyDescent="0.35">
      <c r="A59" s="170" t="s">
        <v>382</v>
      </c>
      <c r="B59" s="384" t="s">
        <v>69</v>
      </c>
      <c r="C59" s="385"/>
      <c r="D59" s="15">
        <f>IF(D54="SI",SUM(D47,D48,D50,D52,D55,D57,D58),SUM(D47,D48,D50,D52,D55:D58))</f>
        <v>0</v>
      </c>
      <c r="E59" s="140"/>
      <c r="I59" s="162"/>
      <c r="J59" s="162"/>
      <c r="K59" s="162"/>
      <c r="L59" s="162"/>
    </row>
    <row r="60" spans="1:12" ht="49.5" customHeight="1" thickBot="1" x14ac:dyDescent="0.4">
      <c r="A60" s="151" t="str">
        <f>IF(B10="Campo rellenable de descripción de la instalación/infraestructura","Campo automático",A10&amp;": "&amp;B10)</f>
        <v>Campo automático</v>
      </c>
      <c r="B60" s="387"/>
      <c r="C60" s="387"/>
      <c r="D60" s="387"/>
      <c r="E60" s="152"/>
      <c r="F60" s="171" t="s">
        <v>276</v>
      </c>
      <c r="G60" s="152"/>
      <c r="I60" s="162"/>
      <c r="J60" s="162"/>
      <c r="K60" s="162"/>
      <c r="L60" s="162"/>
    </row>
    <row r="61" spans="1:12" ht="32.25" thickBot="1" x14ac:dyDescent="0.3">
      <c r="A61" s="154" t="s">
        <v>47</v>
      </c>
      <c r="B61" s="404" t="s">
        <v>342</v>
      </c>
      <c r="C61" s="405"/>
      <c r="D61" s="406"/>
      <c r="E61" s="155"/>
      <c r="F61" s="152"/>
      <c r="G61" s="152"/>
      <c r="I61" s="162"/>
      <c r="J61" s="162"/>
      <c r="K61" s="162"/>
      <c r="L61" s="162"/>
    </row>
    <row r="62" spans="1:12" ht="60.75" customHeight="1" x14ac:dyDescent="0.25">
      <c r="A62" s="156" t="s">
        <v>0</v>
      </c>
      <c r="B62" s="401" t="s">
        <v>322</v>
      </c>
      <c r="C62" s="402"/>
      <c r="D62" s="178" t="s">
        <v>89</v>
      </c>
      <c r="E62" s="137"/>
      <c r="I62" s="162"/>
      <c r="J62" s="162"/>
      <c r="K62" s="162"/>
      <c r="L62" s="162"/>
    </row>
    <row r="63" spans="1:12" ht="34.5" customHeight="1" x14ac:dyDescent="0.25">
      <c r="A63" s="158"/>
      <c r="B63" s="379" t="s">
        <v>394</v>
      </c>
      <c r="C63" s="379"/>
      <c r="D63" s="179">
        <v>0</v>
      </c>
      <c r="E63" s="137"/>
      <c r="I63" s="159" t="str">
        <f>IF($D62="Medida con un contador","X","")</f>
        <v/>
      </c>
      <c r="J63" s="159" t="str">
        <f>IF($D62="Estimada mediante facturas","X","")</f>
        <v/>
      </c>
      <c r="K63" s="159" t="s">
        <v>295</v>
      </c>
      <c r="L63" s="159"/>
    </row>
    <row r="64" spans="1:12" ht="99" customHeight="1" x14ac:dyDescent="0.25">
      <c r="A64" s="156" t="s">
        <v>133</v>
      </c>
      <c r="B64" s="380" t="s">
        <v>323</v>
      </c>
      <c r="C64" s="381"/>
      <c r="D64" s="179">
        <v>0</v>
      </c>
      <c r="E64" s="137"/>
      <c r="I64" s="159" t="s">
        <v>295</v>
      </c>
      <c r="J64" s="159"/>
      <c r="K64" s="159" t="s">
        <v>295</v>
      </c>
      <c r="L64" s="159"/>
    </row>
    <row r="65" spans="1:12" ht="75.75" customHeight="1" x14ac:dyDescent="0.25">
      <c r="A65" s="156"/>
      <c r="B65" s="160" t="s">
        <v>52</v>
      </c>
      <c r="C65" s="388"/>
      <c r="D65" s="388"/>
      <c r="E65" s="137"/>
      <c r="G65" s="161"/>
      <c r="I65" s="162"/>
      <c r="J65" s="162"/>
      <c r="K65" s="162"/>
      <c r="L65" s="162"/>
    </row>
    <row r="66" spans="1:12" ht="99" customHeight="1" x14ac:dyDescent="0.25">
      <c r="A66" s="156"/>
      <c r="B66" s="380" t="s">
        <v>399</v>
      </c>
      <c r="C66" s="381"/>
      <c r="D66" s="179">
        <v>0</v>
      </c>
      <c r="E66" s="137"/>
      <c r="I66" s="159" t="s">
        <v>295</v>
      </c>
      <c r="J66" s="159"/>
      <c r="K66" s="159" t="s">
        <v>295</v>
      </c>
      <c r="L66" s="159"/>
    </row>
    <row r="67" spans="1:12" ht="75.75" customHeight="1" x14ac:dyDescent="0.25">
      <c r="A67" s="156"/>
      <c r="B67" s="160" t="s">
        <v>52</v>
      </c>
      <c r="C67" s="388"/>
      <c r="D67" s="388"/>
      <c r="E67" s="137"/>
      <c r="G67" s="161"/>
      <c r="I67" s="162"/>
      <c r="J67" s="162"/>
      <c r="K67" s="162"/>
      <c r="L67" s="162"/>
    </row>
    <row r="68" spans="1:12" ht="75.75" customHeight="1" x14ac:dyDescent="0.25">
      <c r="A68" s="156"/>
      <c r="B68" s="380" t="s">
        <v>400</v>
      </c>
      <c r="C68" s="381"/>
      <c r="D68" s="180">
        <v>0</v>
      </c>
      <c r="E68" s="137"/>
      <c r="I68" s="159"/>
      <c r="J68" s="159" t="s">
        <v>295</v>
      </c>
      <c r="K68" s="159" t="s">
        <v>295</v>
      </c>
      <c r="L68" s="159"/>
    </row>
    <row r="69" spans="1:12" ht="78" customHeight="1" x14ac:dyDescent="0.25">
      <c r="A69" s="158"/>
      <c r="B69" s="160" t="s">
        <v>52</v>
      </c>
      <c r="C69" s="388"/>
      <c r="D69" s="388"/>
      <c r="E69" s="137"/>
      <c r="F69" s="163"/>
      <c r="I69" s="162"/>
      <c r="J69" s="162"/>
      <c r="K69" s="162"/>
      <c r="L69" s="162"/>
    </row>
    <row r="70" spans="1:12" ht="78" customHeight="1" x14ac:dyDescent="0.25">
      <c r="A70" s="158" t="s">
        <v>134</v>
      </c>
      <c r="B70" s="380" t="s">
        <v>284</v>
      </c>
      <c r="C70" s="381"/>
      <c r="D70" s="181" t="s">
        <v>89</v>
      </c>
      <c r="E70" s="137"/>
      <c r="F70" s="163"/>
      <c r="I70" s="162"/>
      <c r="J70" s="162"/>
      <c r="K70" s="162"/>
      <c r="L70" s="162"/>
    </row>
    <row r="71" spans="1:12" ht="34.5" customHeight="1" x14ac:dyDescent="0.25">
      <c r="A71" s="156" t="s">
        <v>5</v>
      </c>
      <c r="B71" s="379" t="s">
        <v>324</v>
      </c>
      <c r="C71" s="379"/>
      <c r="D71" s="179">
        <v>0</v>
      </c>
      <c r="E71" s="137"/>
      <c r="F71" s="165"/>
      <c r="G71" s="166"/>
      <c r="H71" s="166"/>
      <c r="I71" s="159" t="str">
        <f>IF($D70="SI","X","")</f>
        <v/>
      </c>
      <c r="J71" s="159" t="str">
        <f>IF($D70="NO","X","")</f>
        <v/>
      </c>
      <c r="K71" s="159"/>
      <c r="L71" s="159"/>
    </row>
    <row r="72" spans="1:12" ht="34.5" customHeight="1" x14ac:dyDescent="0.25">
      <c r="A72" s="156"/>
      <c r="B72" s="382" t="s">
        <v>325</v>
      </c>
      <c r="C72" s="383"/>
      <c r="D72" s="179">
        <v>0</v>
      </c>
      <c r="E72" s="137"/>
      <c r="F72" s="165"/>
      <c r="G72" s="166"/>
      <c r="H72" s="166"/>
      <c r="I72" s="167"/>
      <c r="J72" s="159" t="str">
        <f>IF(OR(D70="(Campo desplegable)",D70="SI"),"","X")</f>
        <v/>
      </c>
      <c r="K72" s="159"/>
      <c r="L72" s="159"/>
    </row>
    <row r="73" spans="1:12" ht="34.5" customHeight="1" x14ac:dyDescent="0.25">
      <c r="A73" s="168" t="s">
        <v>132</v>
      </c>
      <c r="B73" s="379" t="s">
        <v>326</v>
      </c>
      <c r="C73" s="379"/>
      <c r="D73" s="179">
        <v>0</v>
      </c>
      <c r="E73" s="137"/>
      <c r="F73" s="166"/>
      <c r="G73" s="166"/>
      <c r="H73" s="166"/>
      <c r="I73" s="159" t="str">
        <f>IF($D70="SI","X","")</f>
        <v/>
      </c>
      <c r="J73" s="159" t="str">
        <f>IF($D70="NO","X","")</f>
        <v/>
      </c>
      <c r="K73" s="159" t="s">
        <v>295</v>
      </c>
      <c r="L73" s="159"/>
    </row>
    <row r="74" spans="1:12" ht="34.5" customHeight="1" thickBot="1" x14ac:dyDescent="0.3">
      <c r="A74" s="169" t="s">
        <v>6</v>
      </c>
      <c r="B74" s="386" t="s">
        <v>327</v>
      </c>
      <c r="C74" s="386"/>
      <c r="D74" s="182">
        <v>0</v>
      </c>
      <c r="E74" s="137"/>
      <c r="F74" s="166"/>
      <c r="G74" s="166"/>
      <c r="H74" s="166"/>
      <c r="I74" s="159" t="str">
        <f>IF($D70="SI","X","")</f>
        <v/>
      </c>
      <c r="J74" s="159" t="str">
        <f>IF($D70="NO","X","")</f>
        <v/>
      </c>
      <c r="K74" s="159"/>
      <c r="L74" s="159"/>
    </row>
    <row r="75" spans="1:12" ht="65.25" customHeight="1" thickBot="1" x14ac:dyDescent="0.35">
      <c r="A75" s="170" t="s">
        <v>383</v>
      </c>
      <c r="B75" s="384" t="s">
        <v>69</v>
      </c>
      <c r="C75" s="385"/>
      <c r="D75" s="15">
        <f>IF(D70="SI",SUM(D63,D64,D66,D68,D71,D73,D74),SUM(D63,D64,D66,D68,D71:D74))</f>
        <v>0</v>
      </c>
      <c r="E75" s="140"/>
      <c r="I75" s="162"/>
      <c r="J75" s="162"/>
      <c r="K75" s="162"/>
      <c r="L75" s="162"/>
    </row>
    <row r="76" spans="1:12" ht="18.75" x14ac:dyDescent="0.3">
      <c r="A76" s="172"/>
      <c r="B76" s="173"/>
      <c r="C76" s="173"/>
      <c r="D76" s="174"/>
      <c r="I76" s="162"/>
      <c r="J76" s="162"/>
      <c r="K76" s="162"/>
      <c r="L76" s="162"/>
    </row>
    <row r="77" spans="1:12" ht="19.5" thickBot="1" x14ac:dyDescent="0.35">
      <c r="A77" s="172"/>
      <c r="B77" s="173"/>
      <c r="C77" s="173"/>
      <c r="D77" s="174"/>
      <c r="I77" s="162"/>
      <c r="J77" s="162"/>
      <c r="K77" s="162"/>
      <c r="L77" s="162"/>
    </row>
    <row r="78" spans="1:12" ht="46.5" customHeight="1" thickBot="1" x14ac:dyDescent="0.3">
      <c r="A78" s="136"/>
      <c r="B78" s="399" t="s">
        <v>384</v>
      </c>
      <c r="C78" s="400"/>
      <c r="D78" s="175" t="s">
        <v>286</v>
      </c>
      <c r="F78" s="171" t="s">
        <v>276</v>
      </c>
      <c r="I78" s="157" t="s">
        <v>296</v>
      </c>
      <c r="J78" s="157" t="s">
        <v>297</v>
      </c>
      <c r="K78" s="157" t="s">
        <v>298</v>
      </c>
      <c r="L78" s="157" t="s">
        <v>299</v>
      </c>
    </row>
    <row r="79" spans="1:12" ht="46.5" customHeight="1" thickBot="1" x14ac:dyDescent="0.3">
      <c r="A79" s="136"/>
      <c r="B79" s="397" t="s">
        <v>385</v>
      </c>
      <c r="C79" s="398"/>
      <c r="D79" s="176">
        <f>SUM(D27,D43,D59,D75)</f>
        <v>0</v>
      </c>
      <c r="I79" s="177">
        <f>SUMIF(I15:I74,"X",$D$15:$D$74)</f>
        <v>0</v>
      </c>
      <c r="J79" s="177">
        <f t="shared" ref="J79:L79" si="0">SUMIF(J15:J74,"X",$D$15:$D$74)</f>
        <v>0</v>
      </c>
      <c r="K79" s="177">
        <f t="shared" si="0"/>
        <v>0</v>
      </c>
      <c r="L79" s="177">
        <f t="shared" si="0"/>
        <v>0</v>
      </c>
    </row>
  </sheetData>
  <sheetProtection algorithmName="SHA-512" hashValue="Q2PF8HzNM3EEQpYrTzNQW2wPxvPATJQAyIFOKCsSgGfI9gcRFYc5KPZ5a8CCCfL3KJJmQnwg++8D9+s54ZR+UQ==" saltValue="KHQ5LVkKVSdYq66DsazLJA==" spinCount="100000" sheet="1" objects="1" scenarios="1"/>
  <mergeCells count="73">
    <mergeCell ref="B29:D29"/>
    <mergeCell ref="B45:D45"/>
    <mergeCell ref="B61:D61"/>
    <mergeCell ref="B75:C75"/>
    <mergeCell ref="B70:C70"/>
    <mergeCell ref="B71:C71"/>
    <mergeCell ref="B72:C72"/>
    <mergeCell ref="B73:C73"/>
    <mergeCell ref="B74:C74"/>
    <mergeCell ref="C65:D65"/>
    <mergeCell ref="B66:C66"/>
    <mergeCell ref="C67:D67"/>
    <mergeCell ref="B68:C68"/>
    <mergeCell ref="C69:D69"/>
    <mergeCell ref="B47:C47"/>
    <mergeCell ref="B48:C48"/>
    <mergeCell ref="C49:D49"/>
    <mergeCell ref="C51:D51"/>
    <mergeCell ref="C53:D53"/>
    <mergeCell ref="C35:D35"/>
    <mergeCell ref="C37:D37"/>
    <mergeCell ref="B40:C40"/>
    <mergeCell ref="B44:D44"/>
    <mergeCell ref="B41:C41"/>
    <mergeCell ref="B39:C39"/>
    <mergeCell ref="B10:D10"/>
    <mergeCell ref="B22:C22"/>
    <mergeCell ref="B28:D28"/>
    <mergeCell ref="B30:C30"/>
    <mergeCell ref="B31:C31"/>
    <mergeCell ref="B27:C27"/>
    <mergeCell ref="B24:C24"/>
    <mergeCell ref="C21:D21"/>
    <mergeCell ref="B12:D12"/>
    <mergeCell ref="B14:C14"/>
    <mergeCell ref="B16:C16"/>
    <mergeCell ref="B20:C20"/>
    <mergeCell ref="C17:D17"/>
    <mergeCell ref="B18:C18"/>
    <mergeCell ref="C19:D19"/>
    <mergeCell ref="B13:D13"/>
    <mergeCell ref="B79:C79"/>
    <mergeCell ref="B78:C78"/>
    <mergeCell ref="B15:C15"/>
    <mergeCell ref="B46:C46"/>
    <mergeCell ref="B36:C36"/>
    <mergeCell ref="B38:C38"/>
    <mergeCell ref="B23:C23"/>
    <mergeCell ref="B25:C25"/>
    <mergeCell ref="B26:C26"/>
    <mergeCell ref="B42:C42"/>
    <mergeCell ref="B43:C43"/>
    <mergeCell ref="B50:C50"/>
    <mergeCell ref="B54:C54"/>
    <mergeCell ref="B55:C55"/>
    <mergeCell ref="B52:C52"/>
    <mergeCell ref="B62:C62"/>
    <mergeCell ref="A2:F2"/>
    <mergeCell ref="B63:C63"/>
    <mergeCell ref="B64:C64"/>
    <mergeCell ref="B56:C56"/>
    <mergeCell ref="B57:C57"/>
    <mergeCell ref="B59:C59"/>
    <mergeCell ref="B58:C58"/>
    <mergeCell ref="B60:D60"/>
    <mergeCell ref="B32:C32"/>
    <mergeCell ref="C33:D33"/>
    <mergeCell ref="B34:C34"/>
    <mergeCell ref="B4:D4"/>
    <mergeCell ref="B6:D6"/>
    <mergeCell ref="B7:D7"/>
    <mergeCell ref="B8:D8"/>
    <mergeCell ref="B9:D9"/>
  </mergeCells>
  <dataValidations count="2">
    <dataValidation type="list" allowBlank="1" showInputMessage="1" showErrorMessage="1" sqref="D14 D30 D46 D62" xr:uid="{05276ACF-733D-4BCD-8736-259660034ACD}">
      <formula1>"(Campo desplegable),Medida con un contador,Estimada mediante facturas"</formula1>
    </dataValidation>
    <dataValidation type="list" allowBlank="1" showInputMessage="1" showErrorMessage="1" sqref="D22 D38 D54 D70" xr:uid="{4A3C3D01-B3C3-4EBC-BEC4-DD825EBD1F3F}">
      <formula1>"(Campo desplegable),SI,NO"</formula1>
    </dataValidation>
  </dataValidations>
  <hyperlinks>
    <hyperlink ref="F28" location="'Instalación-Infraestructura'!A1" display="VOLVER ARRIBA" xr:uid="{E3590A4A-CAB4-4DE4-84ED-7E72A185D731}"/>
    <hyperlink ref="F78" location="'Instalación-Infraestructura'!A1" display="VOLVER ARRIBA" xr:uid="{32BF1D42-293E-45C2-81E8-55BDEDF72A9A}"/>
    <hyperlink ref="F44" location="'Instalación-Infraestructura'!A1" display="VOLVER ARRIBA" xr:uid="{456CB04E-779C-41BB-AE92-832AAEB8183E}"/>
    <hyperlink ref="F60" location="'Instalación-Infraestructura'!A1" display="VOLVER ARRIBA" xr:uid="{911D37DB-E6EB-4642-BD4C-2BE4E62FF072}"/>
    <hyperlink ref="F8:G8" location="'Instalación-Infraestructura'!A36" display="IR A INSTALACIÓN/INFRAESTRUCTURA 2" xr:uid="{D5FAA89E-210A-4F76-8B89-356D73B84C4A}"/>
    <hyperlink ref="F9:G9" location="'Instalación-Infraestructura'!A52" display="IR A INSTALACIÓN/INFRAESTRUCTURA 3" xr:uid="{21A1C06A-1E0E-4277-83DE-8DA8927B25BD}"/>
    <hyperlink ref="F10:G10" location="'Instalación-Infraestructura'!A68" display="IR A INSTALACIÓN/INFRAESTRUCTURA 4" xr:uid="{04F428C1-20D6-4F6F-9D19-D95D5DB40AA0}"/>
    <hyperlink ref="F7" location="'Instalación-Infraestructura'!A21" display="IR A INSTALACIÓN/INFRAESTRUCTURA 1" xr:uid="{09835081-840A-48BB-8D0A-C00FD1BCBF80}"/>
  </hyperlinks>
  <printOptions horizontalCentered="1" verticalCentered="1"/>
  <pageMargins left="3.937007874015748E-2" right="3.937007874015748E-2" top="3.937007874015748E-2" bottom="3.937007874015748E-2" header="3.937007874015748E-2" footer="3.937007874015748E-2"/>
  <pageSetup paperSize="9"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72B6-8075-4068-91E8-D1F0B7914968}">
  <sheetPr codeName="Hoja4"/>
  <dimension ref="A1:L79"/>
  <sheetViews>
    <sheetView showGridLines="0" topLeftCell="B1" zoomScale="80" zoomScaleNormal="80" zoomScaleSheetLayoutView="90" zoomScalePageLayoutView="55" workbookViewId="0">
      <selection activeCell="B7" sqref="B7:C7"/>
    </sheetView>
  </sheetViews>
  <sheetFormatPr baseColWidth="10" defaultRowHeight="15" x14ac:dyDescent="0.25"/>
  <cols>
    <col min="1" max="1" width="25.42578125" style="11" customWidth="1"/>
    <col min="2" max="2" width="167.5703125" style="11" customWidth="1"/>
    <col min="3" max="3" width="50.140625" style="11" customWidth="1"/>
    <col min="4" max="4" width="21.42578125" style="11" customWidth="1"/>
    <col min="5" max="5" width="20.28515625" style="11" customWidth="1"/>
    <col min="6" max="9" width="25.140625" style="11" hidden="1" customWidth="1"/>
    <col min="10" max="10" width="20.28515625" style="11" hidden="1" customWidth="1"/>
    <col min="11" max="12" width="15.85546875" style="183" customWidth="1"/>
    <col min="13" max="16384" width="11.42578125" style="11"/>
  </cols>
  <sheetData>
    <row r="1" spans="1:12" ht="79.5" customHeight="1" x14ac:dyDescent="0.25">
      <c r="B1" s="329"/>
    </row>
    <row r="2" spans="1:12" ht="27.75" customHeight="1" x14ac:dyDescent="0.5">
      <c r="A2" s="360" t="s">
        <v>377</v>
      </c>
      <c r="B2" s="361"/>
      <c r="C2" s="361"/>
      <c r="D2" s="361"/>
      <c r="E2" s="48"/>
      <c r="F2" s="48"/>
      <c r="G2" s="48"/>
      <c r="H2" s="48"/>
      <c r="I2" s="48"/>
      <c r="J2" s="48"/>
    </row>
    <row r="3" spans="1:12" s="9" customFormat="1" ht="13.5" customHeight="1" thickBot="1" x14ac:dyDescent="0.55000000000000004">
      <c r="A3" s="50"/>
      <c r="B3" s="50"/>
      <c r="C3" s="50"/>
      <c r="D3" s="50"/>
      <c r="E3" s="50"/>
      <c r="F3" s="50"/>
      <c r="G3" s="50"/>
      <c r="H3" s="50"/>
      <c r="K3" s="184"/>
      <c r="L3" s="184"/>
    </row>
    <row r="4" spans="1:12" ht="48.75" customHeight="1" thickBot="1" x14ac:dyDescent="0.3">
      <c r="A4" s="98" t="s">
        <v>511</v>
      </c>
      <c r="B4" s="365" t="str">
        <f>IF('Datos generales'!B11:C11="(Campo desplegable)","Indicar en la hoja de 'Datos generales'",'Datos generales'!B11:C11)</f>
        <v>Indicar en la hoja de 'Datos generales'</v>
      </c>
      <c r="C4" s="367"/>
      <c r="D4" s="99"/>
      <c r="E4" s="185"/>
      <c r="F4" s="185"/>
      <c r="G4" s="186"/>
    </row>
    <row r="5" spans="1:12" ht="24.75" customHeight="1" x14ac:dyDescent="0.25">
      <c r="A5" s="187"/>
      <c r="B5" s="188"/>
      <c r="C5" s="189"/>
      <c r="G5" s="186"/>
    </row>
    <row r="6" spans="1:12" ht="33" customHeight="1" x14ac:dyDescent="0.25">
      <c r="B6" s="410" t="s">
        <v>55</v>
      </c>
      <c r="C6" s="410"/>
      <c r="G6" s="186"/>
    </row>
    <row r="7" spans="1:12" s="9" customFormat="1" ht="41.25" customHeight="1" x14ac:dyDescent="0.25">
      <c r="A7" s="190"/>
      <c r="B7" s="408" t="s">
        <v>89</v>
      </c>
      <c r="C7" s="409"/>
    </row>
    <row r="8" spans="1:12" s="191" customFormat="1" ht="36.75" customHeight="1" thickBot="1" x14ac:dyDescent="0.4">
      <c r="F8" s="407" t="s">
        <v>317</v>
      </c>
      <c r="G8" s="407"/>
      <c r="H8" s="407"/>
      <c r="I8" s="407"/>
    </row>
    <row r="9" spans="1:12" ht="33" customHeight="1" thickBot="1" x14ac:dyDescent="0.4">
      <c r="A9" s="192" t="s">
        <v>56</v>
      </c>
      <c r="B9" s="192" t="s">
        <v>320</v>
      </c>
      <c r="C9" s="192" t="s">
        <v>63</v>
      </c>
      <c r="D9" s="193" t="s">
        <v>129</v>
      </c>
      <c r="F9" s="194" t="s">
        <v>296</v>
      </c>
      <c r="G9" s="194" t="s">
        <v>297</v>
      </c>
      <c r="H9" s="194" t="s">
        <v>298</v>
      </c>
      <c r="I9" s="194" t="s">
        <v>299</v>
      </c>
    </row>
    <row r="10" spans="1:12" ht="21.75" customHeight="1" thickBot="1" x14ac:dyDescent="0.35">
      <c r="A10" s="195" t="s">
        <v>353</v>
      </c>
      <c r="B10" s="30" t="s">
        <v>32</v>
      </c>
      <c r="C10" s="196" t="s">
        <v>67</v>
      </c>
      <c r="D10" s="197">
        <f>'Equipo 1'!$D$56</f>
        <v>0</v>
      </c>
      <c r="F10" s="198">
        <f>'Equipo 1'!$F$56</f>
        <v>0</v>
      </c>
      <c r="G10" s="198">
        <f>'Equipo 1'!$G$56</f>
        <v>0</v>
      </c>
      <c r="H10" s="198">
        <f>'Equipo 1'!$H$56</f>
        <v>0</v>
      </c>
      <c r="I10" s="198">
        <f>'Equipo 1'!$I$56</f>
        <v>0</v>
      </c>
    </row>
    <row r="11" spans="1:12" ht="21.75" customHeight="1" thickBot="1" x14ac:dyDescent="0.35">
      <c r="A11" s="195" t="s">
        <v>354</v>
      </c>
      <c r="B11" s="31" t="s">
        <v>32</v>
      </c>
      <c r="C11" s="196" t="s">
        <v>78</v>
      </c>
      <c r="D11" s="199">
        <f>'Equipo 2'!D56</f>
        <v>0</v>
      </c>
      <c r="F11" s="198">
        <f>'Equipo 2'!$F$56</f>
        <v>0</v>
      </c>
      <c r="G11" s="198">
        <f>'Equipo 2'!$G$56</f>
        <v>0</v>
      </c>
      <c r="H11" s="198">
        <f>'Equipo 2'!$H$56</f>
        <v>0</v>
      </c>
      <c r="I11" s="198">
        <f>'Equipo 2'!$I$56</f>
        <v>0</v>
      </c>
    </row>
    <row r="12" spans="1:12" ht="21.75" customHeight="1" thickBot="1" x14ac:dyDescent="0.35">
      <c r="A12" s="195" t="s">
        <v>355</v>
      </c>
      <c r="B12" s="31" t="s">
        <v>32</v>
      </c>
      <c r="C12" s="196" t="s">
        <v>79</v>
      </c>
      <c r="D12" s="200">
        <f>'Equipo 3'!D56</f>
        <v>0</v>
      </c>
      <c r="F12" s="198">
        <f>'Equipo 3'!$F$56</f>
        <v>0</v>
      </c>
      <c r="G12" s="198">
        <f>'Equipo 3'!$G$56</f>
        <v>0</v>
      </c>
      <c r="H12" s="198">
        <f>'Equipo 3'!$H$56</f>
        <v>0</v>
      </c>
      <c r="I12" s="198">
        <f>'Equipo 3'!$I$56</f>
        <v>0</v>
      </c>
    </row>
    <row r="13" spans="1:12" ht="21.75" customHeight="1" thickBot="1" x14ac:dyDescent="0.35">
      <c r="A13" s="195" t="s">
        <v>356</v>
      </c>
      <c r="B13" s="31" t="s">
        <v>32</v>
      </c>
      <c r="C13" s="196" t="s">
        <v>80</v>
      </c>
      <c r="D13" s="200">
        <f>'Equipo 4'!D56</f>
        <v>0</v>
      </c>
      <c r="F13" s="198">
        <f>'Equipo 4'!$F$56</f>
        <v>0</v>
      </c>
      <c r="G13" s="198">
        <f>'Equipo 4'!$G$56</f>
        <v>0</v>
      </c>
      <c r="H13" s="198">
        <f>'Equipo 4'!$H$56</f>
        <v>0</v>
      </c>
      <c r="I13" s="198">
        <f>'Equipo 4'!$I$56</f>
        <v>0</v>
      </c>
    </row>
    <row r="14" spans="1:12" ht="21.75" customHeight="1" thickBot="1" x14ac:dyDescent="0.35">
      <c r="A14" s="195" t="s">
        <v>357</v>
      </c>
      <c r="B14" s="31" t="s">
        <v>32</v>
      </c>
      <c r="C14" s="196" t="s">
        <v>81</v>
      </c>
      <c r="D14" s="200">
        <f>'Equipo 5'!D56</f>
        <v>0</v>
      </c>
      <c r="F14" s="198">
        <f>'Equipo 5'!$F$56</f>
        <v>0</v>
      </c>
      <c r="G14" s="198">
        <f>'Equipo 5'!$G$56</f>
        <v>0</v>
      </c>
      <c r="H14" s="198">
        <f>'Equipo 5'!$H$56</f>
        <v>0</v>
      </c>
      <c r="I14" s="198">
        <f>'Equipo 5'!$I$56</f>
        <v>0</v>
      </c>
    </row>
    <row r="15" spans="1:12" ht="21.75" customHeight="1" thickBot="1" x14ac:dyDescent="0.35">
      <c r="A15" s="195" t="s">
        <v>358</v>
      </c>
      <c r="B15" s="31" t="s">
        <v>32</v>
      </c>
      <c r="C15" s="196" t="s">
        <v>82</v>
      </c>
      <c r="D15" s="200">
        <f>'Equipo 6'!D56</f>
        <v>0</v>
      </c>
      <c r="F15" s="198">
        <f>'Equipo 6'!$F$56</f>
        <v>0</v>
      </c>
      <c r="G15" s="198">
        <f>'Equipo 6'!$G$56</f>
        <v>0</v>
      </c>
      <c r="H15" s="198">
        <f>'Equipo 6'!$H$56</f>
        <v>0</v>
      </c>
      <c r="I15" s="198">
        <f>'Equipo 6'!$I$56</f>
        <v>0</v>
      </c>
    </row>
    <row r="16" spans="1:12" ht="21.75" customHeight="1" thickBot="1" x14ac:dyDescent="0.35">
      <c r="A16" s="195" t="s">
        <v>359</v>
      </c>
      <c r="B16" s="31" t="s">
        <v>32</v>
      </c>
      <c r="C16" s="196" t="s">
        <v>83</v>
      </c>
      <c r="D16" s="200">
        <f>'Equipo 7'!D56</f>
        <v>0</v>
      </c>
      <c r="F16" s="198">
        <f>'Equipo 7'!$F$56</f>
        <v>0</v>
      </c>
      <c r="G16" s="198">
        <f>'Equipo 7'!$G$56</f>
        <v>0</v>
      </c>
      <c r="H16" s="198">
        <f>'Equipo 7'!$H$56</f>
        <v>0</v>
      </c>
      <c r="I16" s="198">
        <f>'Equipo 7'!$I$56</f>
        <v>0</v>
      </c>
    </row>
    <row r="17" spans="1:12" ht="21.75" customHeight="1" thickBot="1" x14ac:dyDescent="0.35">
      <c r="A17" s="195" t="s">
        <v>360</v>
      </c>
      <c r="B17" s="31" t="s">
        <v>32</v>
      </c>
      <c r="C17" s="196" t="s">
        <v>84</v>
      </c>
      <c r="D17" s="200">
        <f>'Equipo 8'!D56</f>
        <v>0</v>
      </c>
      <c r="F17" s="198">
        <f>'Equipo 8'!$F$56</f>
        <v>0</v>
      </c>
      <c r="G17" s="198">
        <f>'Equipo 8'!$G$56</f>
        <v>0</v>
      </c>
      <c r="H17" s="198">
        <f>'Equipo 8'!$H$56</f>
        <v>0</v>
      </c>
      <c r="I17" s="198">
        <f>'Equipo 8'!$I$56</f>
        <v>0</v>
      </c>
    </row>
    <row r="18" spans="1:12" ht="21.75" customHeight="1" thickBot="1" x14ac:dyDescent="0.35">
      <c r="A18" s="195" t="s">
        <v>361</v>
      </c>
      <c r="B18" s="31" t="s">
        <v>32</v>
      </c>
      <c r="C18" s="196" t="s">
        <v>85</v>
      </c>
      <c r="D18" s="200">
        <f>'Equipo 9'!D56</f>
        <v>0</v>
      </c>
      <c r="F18" s="198">
        <f>'Equipo 9'!$F$56</f>
        <v>0</v>
      </c>
      <c r="G18" s="198">
        <f>'Equipo 9'!$G$56</f>
        <v>0</v>
      </c>
      <c r="H18" s="198">
        <f>'Equipo 9'!$H$56</f>
        <v>0</v>
      </c>
      <c r="I18" s="198">
        <f>'Equipo 9'!$I$56</f>
        <v>0</v>
      </c>
    </row>
    <row r="19" spans="1:12" s="9" customFormat="1" ht="21.75" customHeight="1" thickBot="1" x14ac:dyDescent="0.35">
      <c r="A19" s="195" t="s">
        <v>362</v>
      </c>
      <c r="B19" s="31" t="s">
        <v>32</v>
      </c>
      <c r="C19" s="196" t="s">
        <v>86</v>
      </c>
      <c r="D19" s="201">
        <f>'Equipo 10'!D56</f>
        <v>0</v>
      </c>
      <c r="E19" s="189"/>
      <c r="F19" s="198">
        <f>'Equipo 10'!$F$56</f>
        <v>0</v>
      </c>
      <c r="G19" s="198">
        <f>'Equipo 10'!$G$56</f>
        <v>0</v>
      </c>
      <c r="H19" s="198">
        <f>'Equipo 10'!$H$56</f>
        <v>0</v>
      </c>
      <c r="I19" s="198">
        <f>'Equipo 10'!$I$56</f>
        <v>0</v>
      </c>
      <c r="K19" s="184"/>
      <c r="L19" s="184"/>
    </row>
    <row r="20" spans="1:12" ht="13.5" customHeight="1" thickBot="1" x14ac:dyDescent="0.35">
      <c r="A20" s="202"/>
      <c r="B20" s="203"/>
      <c r="C20" s="120"/>
      <c r="D20" s="120"/>
      <c r="F20" s="204"/>
      <c r="G20" s="205"/>
      <c r="H20" s="205"/>
      <c r="I20" s="205"/>
    </row>
    <row r="21" spans="1:12" ht="42.75" thickBot="1" x14ac:dyDescent="0.3">
      <c r="C21" s="206" t="s">
        <v>378</v>
      </c>
      <c r="D21" s="207">
        <f>IF(B7=1,$D$10,IF(B7=2,SUMIF($D$10:$D$11,"&gt;0",$D$10:$D$11),IF(B7=3,SUMIF($D$10:$D$12,"&gt;0",$D$10:$D$12),IF(B7=4,SUMIF($D$10:$D$13,"&gt;0",$D$10:$D$13),IF(B7=5,SUMIF($D$10:$D$14,"&gt;0",$D$10:$D$14),IF(B7=6,SUMIF($D$10:$D$15,"&gt;0",$D$10:$D$15),IF(B7=7,SUMIF($D$10:$D$16,"&gt;0",$D$10:$D$16),IF(B7=8,SUMIF($D$10:$D$17,"&gt;0",$D$10:$D$17),IF(B7=9,SUMIF($D$10:$D$18,"&gt;0",$D$10:$D$18),SUMIF($D$10:$D$19,"&gt;0",$D$10:$D$19))))))))))</f>
        <v>0</v>
      </c>
      <c r="F21" s="198">
        <f>IF(B7=1,$F$10,IF(B7=2,SUMIF($F$10:$F$11,"&gt;0",$F$10:$F$11),IF(B7=3,SUMIF($F$10:$F$12,"&gt;0",$F$10:$F$12),IF(B7=4,SUMIF($F$10:$F$13,"&gt;0",$F$10:$F$13),IF(B7=5,SUMIF($F$10:$F$14,"&gt;0",$F$10:$F$14),IF(B7=6,SUMIF($F$10:$F$15,"&gt;0",$F$10:$F$15),IF(B7=7,SUMIF($F$10:$F$16,"&gt;0",$F$10:$F$16),IF(B7=8,SUMIF($F$10:$F$17,"&gt;0",$F$10:$F$17),IF(B7=9,SUMIF($F$10:$F$18,"&gt;0",$F$10:$F$18),SUMIF($F$10:$F$19,"&gt;0",$F$10:$F$19))))))))))</f>
        <v>0</v>
      </c>
      <c r="G21" s="198">
        <f>IF(B7=1,$G$10,IF(B7=2,SUMIF($G$10:$G$11,"&gt;0",$G$10:$G$11),IF(B7=3,SUMIF($G$10:$G$12,"&gt;0",$G$10:$G$12),IF(B7=4,SUMIF($G$10:$G$13,"&gt;0",$G$10:$G$13),IF(B7=5,SUMIF($G$10:$G$14,"&gt;0",$G$10:$G$14),IF(B7=6,SUMIF($G$10:$G$15,"&gt;0",$G$10:$G$15),IF(B7=7,SUMIF($G$10:$G$16,"&gt;0",$G$10:$G$16),IF(B7=8,SUMIF($G$10:$G$17,"&gt;0",$G$10:$G$17),IF(B7=9,SUMIF($G$10:$G$18,"&gt;0",$G$10:$G$18),SUMIF($G$10:$G$19,"&gt;0",$G$10:$G$19))))))))))</f>
        <v>0</v>
      </c>
      <c r="H21" s="198">
        <f>IF(B7=1,$H$10,IF(B7=2,SUMIF($H$10:$H$11,"&gt;0",$H$10:$H$11),IF(B7=3,SUMIF($H$10:$H$12,"&gt;0",$H$10:$H$12),IF(B7=4,SUMIF($H$10:$H$13,"&gt;0",$H$10:$H$13),IF(B7=5,SUMIF($H$10:$H$14,"&gt;0",$H$10:$H$14),IF(B7=6,SUMIF($H$10:$H$15,"&gt;0",$H$10:$H$15),IF(B7=7,SUMIF($H$10:$H$16,"&gt;0",$H$10:$H$16),IF(B7=8,SUMIF($H$10:$H$17,"&gt;0",$H$10:$H$17),IF(B7=9,SUMIF($H$10:$H$18,"&gt;0",$H$10:$H$18),SUMIF($H$10:$H$19,"&gt;0",$H$10:$H$19))))))))))</f>
        <v>0</v>
      </c>
      <c r="I21" s="198">
        <f>IF(B7=1,$I$10,IF(B7=2,SUMIF($I$10:$I$11,"&gt;0",$I$10:$I$11),IF(B7=3,SUMIF($I$10:$I$12,"&gt;0",$I$10:$I$12),IF(B7=4,SUMIF($I$10:$I$13,"&gt;0",$I$10:$I$13),IF(B7=5,SUMIF($I$10:$I$14,"&gt;0",$I$10:$I$14),IF(B7=6,SUMIF($I$10:$I$15,"&gt;0",$I$10:$I$15),IF(B7=7,SUMIF($I$10:$I$16,"&gt;0",$I$10:$I$16),IF(B7=8,SUMIF($I$10:$I$17,"&gt;0",$I$10:$I$17),IF(B7=9,SUMIF($I$10:$I$18,"&gt;0",$I$10:$I$18),SUMIF($I$10:$I$19,"&gt;0",$I$10:$I$19))))))))))</f>
        <v>0</v>
      </c>
    </row>
    <row r="25" spans="1:12" x14ac:dyDescent="0.25">
      <c r="F25" s="407" t="s">
        <v>311</v>
      </c>
      <c r="G25" s="407"/>
      <c r="H25" s="407"/>
      <c r="I25" s="407"/>
    </row>
    <row r="26" spans="1:12" x14ac:dyDescent="0.25">
      <c r="F26" s="194" t="s">
        <v>296</v>
      </c>
      <c r="G26" s="194" t="s">
        <v>297</v>
      </c>
      <c r="H26" s="194" t="s">
        <v>298</v>
      </c>
      <c r="I26" s="194" t="s">
        <v>299</v>
      </c>
    </row>
    <row r="27" spans="1:12" x14ac:dyDescent="0.25">
      <c r="F27" s="198">
        <f>'Equipo 1'!F27</f>
        <v>0</v>
      </c>
      <c r="G27" s="198">
        <f>'Equipo 1'!G27</f>
        <v>0</v>
      </c>
      <c r="H27" s="198">
        <f>'Equipo 1'!H27</f>
        <v>0</v>
      </c>
      <c r="I27" s="198">
        <f>'Equipo 1'!I27</f>
        <v>0</v>
      </c>
      <c r="J27" s="208" t="s">
        <v>27</v>
      </c>
    </row>
    <row r="28" spans="1:12" x14ac:dyDescent="0.25">
      <c r="F28" s="198">
        <f>'Equipo 2'!F27</f>
        <v>0</v>
      </c>
      <c r="G28" s="198">
        <f>'Equipo 2'!G27</f>
        <v>0</v>
      </c>
      <c r="H28" s="198">
        <f>'Equipo 2'!H27</f>
        <v>0</v>
      </c>
      <c r="I28" s="198">
        <f>'Equipo 2'!I27</f>
        <v>0</v>
      </c>
      <c r="J28" s="208" t="s">
        <v>29</v>
      </c>
    </row>
    <row r="29" spans="1:12" x14ac:dyDescent="0.25">
      <c r="F29" s="198">
        <f>'Equipo 3'!F27</f>
        <v>0</v>
      </c>
      <c r="G29" s="198">
        <f>'Equipo 3'!G27</f>
        <v>0</v>
      </c>
      <c r="H29" s="198">
        <f>'Equipo 3'!H27</f>
        <v>0</v>
      </c>
      <c r="I29" s="198">
        <f>'Equipo 3'!I27</f>
        <v>0</v>
      </c>
      <c r="J29" s="208" t="s">
        <v>30</v>
      </c>
    </row>
    <row r="30" spans="1:12" x14ac:dyDescent="0.25">
      <c r="F30" s="198">
        <f>'Equipo 4'!F27</f>
        <v>0</v>
      </c>
      <c r="G30" s="198">
        <f>'Equipo 4'!G27</f>
        <v>0</v>
      </c>
      <c r="H30" s="198">
        <f>'Equipo 4'!H27</f>
        <v>0</v>
      </c>
      <c r="I30" s="198">
        <f>'Equipo 4'!I27</f>
        <v>0</v>
      </c>
      <c r="J30" s="208" t="s">
        <v>31</v>
      </c>
    </row>
    <row r="31" spans="1:12" x14ac:dyDescent="0.25">
      <c r="F31" s="198">
        <f>'Equipo 5'!F27</f>
        <v>0</v>
      </c>
      <c r="G31" s="198">
        <f>'Equipo 5'!G27</f>
        <v>0</v>
      </c>
      <c r="H31" s="198">
        <f>'Equipo 5'!H27</f>
        <v>0</v>
      </c>
      <c r="I31" s="198">
        <f>'Equipo 5'!I27</f>
        <v>0</v>
      </c>
      <c r="J31" s="208" t="s">
        <v>57</v>
      </c>
    </row>
    <row r="32" spans="1:12" x14ac:dyDescent="0.25">
      <c r="F32" s="198">
        <f>'Equipo 6'!F27</f>
        <v>0</v>
      </c>
      <c r="G32" s="198">
        <f>'Equipo 6'!G27</f>
        <v>0</v>
      </c>
      <c r="H32" s="198">
        <f>'Equipo 6'!H27</f>
        <v>0</v>
      </c>
      <c r="I32" s="198">
        <f>'Equipo 6'!I27</f>
        <v>0</v>
      </c>
      <c r="J32" s="208" t="s">
        <v>58</v>
      </c>
    </row>
    <row r="33" spans="6:10" x14ac:dyDescent="0.25">
      <c r="F33" s="198">
        <f>'Equipo 7'!F27</f>
        <v>0</v>
      </c>
      <c r="G33" s="198">
        <f>'Equipo 7'!G27</f>
        <v>0</v>
      </c>
      <c r="H33" s="198">
        <f>'Equipo 7'!H27</f>
        <v>0</v>
      </c>
      <c r="I33" s="198">
        <f>'Equipo 7'!I27</f>
        <v>0</v>
      </c>
      <c r="J33" s="208" t="s">
        <v>59</v>
      </c>
    </row>
    <row r="34" spans="6:10" x14ac:dyDescent="0.25">
      <c r="F34" s="198">
        <f>'Equipo 8'!F27</f>
        <v>0</v>
      </c>
      <c r="G34" s="198">
        <f>'Equipo 8'!G27</f>
        <v>0</v>
      </c>
      <c r="H34" s="198">
        <f>'Equipo 8'!H27</f>
        <v>0</v>
      </c>
      <c r="I34" s="198">
        <f>'Equipo 8'!I27</f>
        <v>0</v>
      </c>
      <c r="J34" s="208" t="s">
        <v>60</v>
      </c>
    </row>
    <row r="35" spans="6:10" x14ac:dyDescent="0.25">
      <c r="F35" s="198">
        <f>'Equipo 9'!F27</f>
        <v>0</v>
      </c>
      <c r="G35" s="198">
        <f>'Equipo 9'!G27</f>
        <v>0</v>
      </c>
      <c r="H35" s="198">
        <f>'Equipo 9'!H27</f>
        <v>0</v>
      </c>
      <c r="I35" s="198">
        <f>'Equipo 9'!I27</f>
        <v>0</v>
      </c>
      <c r="J35" s="208" t="s">
        <v>61</v>
      </c>
    </row>
    <row r="36" spans="6:10" ht="15.75" thickBot="1" x14ac:dyDescent="0.3">
      <c r="F36" s="209">
        <f>'Equipo 10'!F27</f>
        <v>0</v>
      </c>
      <c r="G36" s="209">
        <f>'Equipo 10'!G27</f>
        <v>0</v>
      </c>
      <c r="H36" s="209">
        <f>'Equipo 10'!H27</f>
        <v>0</v>
      </c>
      <c r="I36" s="209">
        <f>'Equipo 10'!I27</f>
        <v>0</v>
      </c>
      <c r="J36" s="208" t="s">
        <v>62</v>
      </c>
    </row>
    <row r="37" spans="6:10" ht="16.5" thickBot="1" x14ac:dyDescent="0.3">
      <c r="F37" s="210">
        <f>SUM(F27:F36)</f>
        <v>0</v>
      </c>
      <c r="G37" s="211">
        <f>SUM(G27:G36)</f>
        <v>0</v>
      </c>
      <c r="H37" s="211">
        <f>SUM(H27:H36)</f>
        <v>0</v>
      </c>
      <c r="I37" s="211">
        <f>SUM(I27:I36)</f>
        <v>0</v>
      </c>
      <c r="J37" s="212" t="s">
        <v>315</v>
      </c>
    </row>
    <row r="39" spans="6:10" x14ac:dyDescent="0.25">
      <c r="F39" s="407" t="s">
        <v>312</v>
      </c>
      <c r="G39" s="407"/>
      <c r="H39" s="407"/>
      <c r="I39" s="407"/>
    </row>
    <row r="40" spans="6:10" x14ac:dyDescent="0.25">
      <c r="F40" s="194" t="s">
        <v>296</v>
      </c>
      <c r="G40" s="194" t="s">
        <v>297</v>
      </c>
      <c r="H40" s="194" t="s">
        <v>298</v>
      </c>
      <c r="I40" s="194" t="s">
        <v>299</v>
      </c>
    </row>
    <row r="41" spans="6:10" x14ac:dyDescent="0.25">
      <c r="F41" s="213">
        <f>'Equipo 1'!F32</f>
        <v>0</v>
      </c>
      <c r="G41" s="213">
        <f>'Equipo 1'!G32</f>
        <v>0</v>
      </c>
      <c r="H41" s="213">
        <f>'Equipo 1'!H32</f>
        <v>0</v>
      </c>
      <c r="I41" s="213">
        <f>'Equipo 1'!I32</f>
        <v>0</v>
      </c>
      <c r="J41" s="11" t="s">
        <v>27</v>
      </c>
    </row>
    <row r="42" spans="6:10" x14ac:dyDescent="0.25">
      <c r="F42" s="213">
        <f>'Equipo 2'!F32</f>
        <v>0</v>
      </c>
      <c r="G42" s="213">
        <f>'Equipo 2'!G32</f>
        <v>0</v>
      </c>
      <c r="H42" s="213">
        <f>'Equipo 2'!H32</f>
        <v>0</v>
      </c>
      <c r="I42" s="213">
        <f>'Equipo 2'!I32</f>
        <v>0</v>
      </c>
      <c r="J42" s="11" t="s">
        <v>29</v>
      </c>
    </row>
    <row r="43" spans="6:10" x14ac:dyDescent="0.25">
      <c r="F43" s="213">
        <f>'Equipo 3'!F32</f>
        <v>0</v>
      </c>
      <c r="G43" s="213">
        <f>'Equipo 3'!G32</f>
        <v>0</v>
      </c>
      <c r="H43" s="213">
        <f>'Equipo 3'!H32</f>
        <v>0</v>
      </c>
      <c r="I43" s="213">
        <f>'Equipo 3'!I32</f>
        <v>0</v>
      </c>
      <c r="J43" s="11" t="s">
        <v>30</v>
      </c>
    </row>
    <row r="44" spans="6:10" x14ac:dyDescent="0.25">
      <c r="F44" s="213">
        <f>'Equipo 4'!F32</f>
        <v>0</v>
      </c>
      <c r="G44" s="213">
        <f>'Equipo 4'!G32</f>
        <v>0</v>
      </c>
      <c r="H44" s="213">
        <f>'Equipo 4'!H32</f>
        <v>0</v>
      </c>
      <c r="I44" s="213">
        <f>'Equipo 4'!I32</f>
        <v>0</v>
      </c>
      <c r="J44" s="11" t="s">
        <v>31</v>
      </c>
    </row>
    <row r="45" spans="6:10" x14ac:dyDescent="0.25">
      <c r="F45" s="213">
        <f>'Equipo 5'!F32</f>
        <v>0</v>
      </c>
      <c r="G45" s="213">
        <f>'Equipo 5'!G32</f>
        <v>0</v>
      </c>
      <c r="H45" s="213">
        <f>'Equipo 5'!H32</f>
        <v>0</v>
      </c>
      <c r="I45" s="213">
        <f>'Equipo 5'!I32</f>
        <v>0</v>
      </c>
      <c r="J45" s="11" t="s">
        <v>57</v>
      </c>
    </row>
    <row r="46" spans="6:10" x14ac:dyDescent="0.25">
      <c r="F46" s="213">
        <f>'Equipo 6'!F32</f>
        <v>0</v>
      </c>
      <c r="G46" s="213">
        <f>'Equipo 6'!G32</f>
        <v>0</v>
      </c>
      <c r="H46" s="213">
        <f>'Equipo 6'!H32</f>
        <v>0</v>
      </c>
      <c r="I46" s="213">
        <f>'Equipo 6'!I32</f>
        <v>0</v>
      </c>
      <c r="J46" s="11" t="s">
        <v>58</v>
      </c>
    </row>
    <row r="47" spans="6:10" x14ac:dyDescent="0.25">
      <c r="F47" s="213">
        <f>'Equipo 7'!F32</f>
        <v>0</v>
      </c>
      <c r="G47" s="213">
        <f>'Equipo 7'!G32</f>
        <v>0</v>
      </c>
      <c r="H47" s="213">
        <f>'Equipo 7'!H32</f>
        <v>0</v>
      </c>
      <c r="I47" s="213">
        <f>'Equipo 7'!I32</f>
        <v>0</v>
      </c>
      <c r="J47" s="11" t="s">
        <v>59</v>
      </c>
    </row>
    <row r="48" spans="6:10" x14ac:dyDescent="0.25">
      <c r="F48" s="213">
        <f>'Equipo 8'!F32</f>
        <v>0</v>
      </c>
      <c r="G48" s="213">
        <f>'Equipo 8'!G32</f>
        <v>0</v>
      </c>
      <c r="H48" s="213">
        <f>'Equipo 8'!H32</f>
        <v>0</v>
      </c>
      <c r="I48" s="213">
        <f>'Equipo 8'!I32</f>
        <v>0</v>
      </c>
      <c r="J48" s="11" t="s">
        <v>60</v>
      </c>
    </row>
    <row r="49" spans="6:10" x14ac:dyDescent="0.25">
      <c r="F49" s="213">
        <f>'Equipo 9'!F32</f>
        <v>0</v>
      </c>
      <c r="G49" s="213">
        <f>'Equipo 9'!G32</f>
        <v>0</v>
      </c>
      <c r="H49" s="213">
        <f>'Equipo 9'!H32</f>
        <v>0</v>
      </c>
      <c r="I49" s="213">
        <f>'Equipo 9'!I32</f>
        <v>0</v>
      </c>
      <c r="J49" s="11" t="s">
        <v>61</v>
      </c>
    </row>
    <row r="50" spans="6:10" ht="15.75" thickBot="1" x14ac:dyDescent="0.3">
      <c r="F50" s="214">
        <f>'Equipo 10'!F32</f>
        <v>0</v>
      </c>
      <c r="G50" s="214">
        <f>'Equipo 10'!G32</f>
        <v>0</v>
      </c>
      <c r="H50" s="214">
        <f>'Equipo 10'!H32</f>
        <v>0</v>
      </c>
      <c r="I50" s="214">
        <f>'Equipo 10'!I32</f>
        <v>0</v>
      </c>
      <c r="J50" s="11" t="s">
        <v>62</v>
      </c>
    </row>
    <row r="51" spans="6:10" ht="16.5" thickBot="1" x14ac:dyDescent="0.3">
      <c r="F51" s="210">
        <f>SUM(F41:F50)</f>
        <v>0</v>
      </c>
      <c r="G51" s="211">
        <f t="shared" ref="G51" si="0">SUM(G41:G50)</f>
        <v>0</v>
      </c>
      <c r="H51" s="211">
        <f t="shared" ref="H51" si="1">SUM(H41:H50)</f>
        <v>0</v>
      </c>
      <c r="I51" s="211">
        <f t="shared" ref="I51" si="2">SUM(I41:I50)</f>
        <v>0</v>
      </c>
      <c r="J51" s="212" t="s">
        <v>315</v>
      </c>
    </row>
    <row r="53" spans="6:10" x14ac:dyDescent="0.25">
      <c r="F53" s="407" t="s">
        <v>313</v>
      </c>
      <c r="G53" s="407"/>
      <c r="H53" s="407"/>
      <c r="I53" s="407"/>
    </row>
    <row r="54" spans="6:10" x14ac:dyDescent="0.25">
      <c r="F54" s="194" t="s">
        <v>296</v>
      </c>
      <c r="G54" s="194" t="s">
        <v>297</v>
      </c>
      <c r="H54" s="194" t="s">
        <v>298</v>
      </c>
      <c r="I54" s="194" t="s">
        <v>299</v>
      </c>
    </row>
    <row r="55" spans="6:10" x14ac:dyDescent="0.25">
      <c r="F55" s="213">
        <f>'Equipo 1'!F42</f>
        <v>0</v>
      </c>
      <c r="G55" s="213">
        <f>'Equipo 1'!G42</f>
        <v>0</v>
      </c>
      <c r="H55" s="213">
        <f>'Equipo 1'!H42</f>
        <v>0</v>
      </c>
      <c r="I55" s="213">
        <f>'Equipo 1'!I42</f>
        <v>0</v>
      </c>
      <c r="J55" s="11" t="s">
        <v>27</v>
      </c>
    </row>
    <row r="56" spans="6:10" x14ac:dyDescent="0.25">
      <c r="F56" s="213">
        <f>'Equipo 2'!F42</f>
        <v>0</v>
      </c>
      <c r="G56" s="213">
        <f>'Equipo 2'!G42</f>
        <v>0</v>
      </c>
      <c r="H56" s="213">
        <f>'Equipo 2'!H42</f>
        <v>0</v>
      </c>
      <c r="I56" s="213">
        <f>'Equipo 2'!I42</f>
        <v>0</v>
      </c>
      <c r="J56" s="11" t="s">
        <v>29</v>
      </c>
    </row>
    <row r="57" spans="6:10" x14ac:dyDescent="0.25">
      <c r="F57" s="213">
        <f>'Equipo 3'!F42</f>
        <v>0</v>
      </c>
      <c r="G57" s="213">
        <f>'Equipo 3'!G42</f>
        <v>0</v>
      </c>
      <c r="H57" s="213">
        <f>'Equipo 3'!H42</f>
        <v>0</v>
      </c>
      <c r="I57" s="213">
        <f>'Equipo 3'!I42</f>
        <v>0</v>
      </c>
      <c r="J57" s="11" t="s">
        <v>30</v>
      </c>
    </row>
    <row r="58" spans="6:10" x14ac:dyDescent="0.25">
      <c r="F58" s="213">
        <f>'Equipo 4'!F42</f>
        <v>0</v>
      </c>
      <c r="G58" s="213">
        <f>'Equipo 4'!G42</f>
        <v>0</v>
      </c>
      <c r="H58" s="213">
        <f>'Equipo 4'!H42</f>
        <v>0</v>
      </c>
      <c r="I58" s="213">
        <f>'Equipo 4'!I42</f>
        <v>0</v>
      </c>
      <c r="J58" s="11" t="s">
        <v>31</v>
      </c>
    </row>
    <row r="59" spans="6:10" x14ac:dyDescent="0.25">
      <c r="F59" s="213">
        <f>'Equipo 5'!F42</f>
        <v>0</v>
      </c>
      <c r="G59" s="213">
        <f>'Equipo 5'!G42</f>
        <v>0</v>
      </c>
      <c r="H59" s="213">
        <f>'Equipo 5'!H42</f>
        <v>0</v>
      </c>
      <c r="I59" s="213">
        <f>'Equipo 5'!I42</f>
        <v>0</v>
      </c>
      <c r="J59" s="11" t="s">
        <v>57</v>
      </c>
    </row>
    <row r="60" spans="6:10" x14ac:dyDescent="0.25">
      <c r="F60" s="213">
        <f>'Equipo 6'!F42</f>
        <v>0</v>
      </c>
      <c r="G60" s="213">
        <f>'Equipo 6'!G42</f>
        <v>0</v>
      </c>
      <c r="H60" s="213">
        <f>'Equipo 6'!H42</f>
        <v>0</v>
      </c>
      <c r="I60" s="213">
        <f>'Equipo 6'!I42</f>
        <v>0</v>
      </c>
      <c r="J60" s="11" t="s">
        <v>58</v>
      </c>
    </row>
    <row r="61" spans="6:10" x14ac:dyDescent="0.25">
      <c r="F61" s="213">
        <f>'Equipo 7'!F42</f>
        <v>0</v>
      </c>
      <c r="G61" s="213">
        <f>'Equipo 7'!G42</f>
        <v>0</v>
      </c>
      <c r="H61" s="213">
        <f>'Equipo 7'!H42</f>
        <v>0</v>
      </c>
      <c r="I61" s="213">
        <f>'Equipo 7'!I42</f>
        <v>0</v>
      </c>
      <c r="J61" s="11" t="s">
        <v>59</v>
      </c>
    </row>
    <row r="62" spans="6:10" x14ac:dyDescent="0.25">
      <c r="F62" s="213">
        <f>'Equipo 8'!F42</f>
        <v>0</v>
      </c>
      <c r="G62" s="213">
        <f>'Equipo 8'!G42</f>
        <v>0</v>
      </c>
      <c r="H62" s="213">
        <f>'Equipo 8'!H42</f>
        <v>0</v>
      </c>
      <c r="I62" s="213">
        <f>'Equipo 8'!I42</f>
        <v>0</v>
      </c>
      <c r="J62" s="11" t="s">
        <v>60</v>
      </c>
    </row>
    <row r="63" spans="6:10" x14ac:dyDescent="0.25">
      <c r="F63" s="213">
        <f>'Equipo 9'!F42</f>
        <v>0</v>
      </c>
      <c r="G63" s="213">
        <f>'Equipo 9'!G42</f>
        <v>0</v>
      </c>
      <c r="H63" s="213">
        <f>'Equipo 9'!H42</f>
        <v>0</v>
      </c>
      <c r="I63" s="213">
        <f>'Equipo 9'!I42</f>
        <v>0</v>
      </c>
      <c r="J63" s="11" t="s">
        <v>61</v>
      </c>
    </row>
    <row r="64" spans="6:10" ht="15.75" thickBot="1" x14ac:dyDescent="0.3">
      <c r="F64" s="214">
        <f>'Equipo 10'!F42</f>
        <v>0</v>
      </c>
      <c r="G64" s="214">
        <f>'Equipo 10'!G42</f>
        <v>0</v>
      </c>
      <c r="H64" s="214">
        <f>'Equipo 10'!H42</f>
        <v>0</v>
      </c>
      <c r="I64" s="214">
        <f>'Equipo 10'!I42</f>
        <v>0</v>
      </c>
      <c r="J64" s="11" t="s">
        <v>62</v>
      </c>
    </row>
    <row r="65" spans="6:10" ht="16.5" thickBot="1" x14ac:dyDescent="0.3">
      <c r="F65" s="210">
        <f>SUM(F55:F64)</f>
        <v>0</v>
      </c>
      <c r="G65" s="211">
        <f t="shared" ref="G65" si="3">SUM(G55:G64)</f>
        <v>0</v>
      </c>
      <c r="H65" s="211">
        <f t="shared" ref="H65" si="4">SUM(H55:H64)</f>
        <v>0</v>
      </c>
      <c r="I65" s="211">
        <f t="shared" ref="I65" si="5">SUM(I55:I64)</f>
        <v>0</v>
      </c>
      <c r="J65" s="212" t="s">
        <v>315</v>
      </c>
    </row>
    <row r="67" spans="6:10" x14ac:dyDescent="0.25">
      <c r="F67" s="407" t="s">
        <v>314</v>
      </c>
      <c r="G67" s="407"/>
      <c r="H67" s="407"/>
      <c r="I67" s="407"/>
    </row>
    <row r="68" spans="6:10" x14ac:dyDescent="0.25">
      <c r="F68" s="194" t="s">
        <v>296</v>
      </c>
      <c r="G68" s="194" t="s">
        <v>297</v>
      </c>
      <c r="H68" s="194" t="s">
        <v>298</v>
      </c>
      <c r="I68" s="194" t="s">
        <v>299</v>
      </c>
    </row>
    <row r="69" spans="6:10" x14ac:dyDescent="0.25">
      <c r="F69" s="213">
        <f>'Equipo 1'!F53</f>
        <v>0</v>
      </c>
      <c r="G69" s="213">
        <f>'Equipo 1'!G53</f>
        <v>0</v>
      </c>
      <c r="H69" s="213">
        <f>'Equipo 1'!H53</f>
        <v>0</v>
      </c>
      <c r="I69" s="213">
        <f>'Equipo 1'!I53</f>
        <v>0</v>
      </c>
      <c r="J69" s="11" t="s">
        <v>27</v>
      </c>
    </row>
    <row r="70" spans="6:10" x14ac:dyDescent="0.25">
      <c r="F70" s="213">
        <f>'Equipo 2'!F53</f>
        <v>0</v>
      </c>
      <c r="G70" s="213">
        <f>'Equipo 2'!G53</f>
        <v>0</v>
      </c>
      <c r="H70" s="213">
        <f>'Equipo 2'!H53</f>
        <v>0</v>
      </c>
      <c r="I70" s="213">
        <f>'Equipo 2'!I53</f>
        <v>0</v>
      </c>
      <c r="J70" s="11" t="s">
        <v>29</v>
      </c>
    </row>
    <row r="71" spans="6:10" x14ac:dyDescent="0.25">
      <c r="F71" s="213">
        <f>'Equipo 3'!F53</f>
        <v>0</v>
      </c>
      <c r="G71" s="213">
        <f>'Equipo 3'!G53</f>
        <v>0</v>
      </c>
      <c r="H71" s="213">
        <f>'Equipo 3'!H53</f>
        <v>0</v>
      </c>
      <c r="I71" s="213">
        <f>'Equipo 3'!I53</f>
        <v>0</v>
      </c>
      <c r="J71" s="11" t="s">
        <v>30</v>
      </c>
    </row>
    <row r="72" spans="6:10" x14ac:dyDescent="0.25">
      <c r="F72" s="213">
        <f>'Equipo 4'!F53</f>
        <v>0</v>
      </c>
      <c r="G72" s="213">
        <f>'Equipo 4'!G53</f>
        <v>0</v>
      </c>
      <c r="H72" s="213">
        <f>'Equipo 4'!H53</f>
        <v>0</v>
      </c>
      <c r="I72" s="213">
        <f>'Equipo 4'!I53</f>
        <v>0</v>
      </c>
      <c r="J72" s="11" t="s">
        <v>31</v>
      </c>
    </row>
    <row r="73" spans="6:10" x14ac:dyDescent="0.25">
      <c r="F73" s="213">
        <f>'Equipo 5'!F53</f>
        <v>0</v>
      </c>
      <c r="G73" s="213">
        <f>'Equipo 5'!G53</f>
        <v>0</v>
      </c>
      <c r="H73" s="213">
        <f>'Equipo 5'!H53</f>
        <v>0</v>
      </c>
      <c r="I73" s="213">
        <f>'Equipo 5'!I53</f>
        <v>0</v>
      </c>
      <c r="J73" s="11" t="s">
        <v>57</v>
      </c>
    </row>
    <row r="74" spans="6:10" x14ac:dyDescent="0.25">
      <c r="F74" s="213">
        <f>'Equipo 6'!F53</f>
        <v>0</v>
      </c>
      <c r="G74" s="213">
        <f>'Equipo 6'!G53</f>
        <v>0</v>
      </c>
      <c r="H74" s="213">
        <f>'Equipo 6'!H53</f>
        <v>0</v>
      </c>
      <c r="I74" s="213">
        <f>'Equipo 6'!I53</f>
        <v>0</v>
      </c>
      <c r="J74" s="11" t="s">
        <v>58</v>
      </c>
    </row>
    <row r="75" spans="6:10" x14ac:dyDescent="0.25">
      <c r="F75" s="213">
        <f>'Equipo 7'!F53</f>
        <v>0</v>
      </c>
      <c r="G75" s="213">
        <f>'Equipo 7'!G53</f>
        <v>0</v>
      </c>
      <c r="H75" s="213">
        <f>'Equipo 7'!H53</f>
        <v>0</v>
      </c>
      <c r="I75" s="213">
        <f>'Equipo 7'!I53</f>
        <v>0</v>
      </c>
      <c r="J75" s="11" t="s">
        <v>59</v>
      </c>
    </row>
    <row r="76" spans="6:10" x14ac:dyDescent="0.25">
      <c r="F76" s="213">
        <f>'Equipo 8'!F53</f>
        <v>0</v>
      </c>
      <c r="G76" s="213">
        <f>'Equipo 8'!G53</f>
        <v>0</v>
      </c>
      <c r="H76" s="213">
        <f>'Equipo 8'!H53</f>
        <v>0</v>
      </c>
      <c r="I76" s="213">
        <f>'Equipo 8'!I53</f>
        <v>0</v>
      </c>
      <c r="J76" s="11" t="s">
        <v>60</v>
      </c>
    </row>
    <row r="77" spans="6:10" x14ac:dyDescent="0.25">
      <c r="F77" s="213">
        <f>'Equipo 9'!F53</f>
        <v>0</v>
      </c>
      <c r="G77" s="213">
        <f>'Equipo 9'!G53</f>
        <v>0</v>
      </c>
      <c r="H77" s="213">
        <f>'Equipo 9'!H53</f>
        <v>0</v>
      </c>
      <c r="I77" s="213">
        <f>'Equipo 9'!I53</f>
        <v>0</v>
      </c>
      <c r="J77" s="11" t="s">
        <v>61</v>
      </c>
    </row>
    <row r="78" spans="6:10" ht="15.75" thickBot="1" x14ac:dyDescent="0.3">
      <c r="F78" s="214">
        <f>'Equipo 10'!F53</f>
        <v>0</v>
      </c>
      <c r="G78" s="214">
        <f>'Equipo 10'!G53</f>
        <v>0</v>
      </c>
      <c r="H78" s="214">
        <f>'Equipo 10'!H53</f>
        <v>0</v>
      </c>
      <c r="I78" s="214">
        <f>'Equipo 10'!I53</f>
        <v>0</v>
      </c>
      <c r="J78" s="11" t="s">
        <v>62</v>
      </c>
    </row>
    <row r="79" spans="6:10" ht="16.5" thickBot="1" x14ac:dyDescent="0.3">
      <c r="F79" s="210">
        <f>SUM(F69:F78)</f>
        <v>0</v>
      </c>
      <c r="G79" s="211">
        <f t="shared" ref="G79" si="6">SUM(G69:G78)</f>
        <v>0</v>
      </c>
      <c r="H79" s="211">
        <f t="shared" ref="H79" si="7">SUM(H69:H78)</f>
        <v>0</v>
      </c>
      <c r="I79" s="211">
        <f t="shared" ref="I79" si="8">SUM(I69:I78)</f>
        <v>0</v>
      </c>
      <c r="J79" s="212" t="s">
        <v>315</v>
      </c>
    </row>
  </sheetData>
  <sheetProtection algorithmName="SHA-512" hashValue="7pMR7P+MP9UXUp1Mrig+3dfZmFFVUEwnKTb0QJzAa8aZsX3199xlMD608xm4T1bqJ9UvB01f8bJnMe+oia5O8Q==" saltValue="m0Cvb755qHsVW226Iia+wA==" spinCount="100000" sheet="1"/>
  <mergeCells count="9">
    <mergeCell ref="F53:I53"/>
    <mergeCell ref="F67:I67"/>
    <mergeCell ref="B4:C4"/>
    <mergeCell ref="B7:C7"/>
    <mergeCell ref="A2:D2"/>
    <mergeCell ref="F25:I25"/>
    <mergeCell ref="F39:I39"/>
    <mergeCell ref="F8:I8"/>
    <mergeCell ref="B6:C6"/>
  </mergeCells>
  <conditionalFormatting sqref="A12:D19">
    <cfRule type="expression" dxfId="20" priority="13">
      <formula>$B$7=2</formula>
    </cfRule>
  </conditionalFormatting>
  <conditionalFormatting sqref="A13:D19">
    <cfRule type="expression" dxfId="19" priority="14">
      <formula>$B$7=3</formula>
    </cfRule>
  </conditionalFormatting>
  <conditionalFormatting sqref="A14:D19">
    <cfRule type="expression" dxfId="18" priority="15">
      <formula>$B$7=4</formula>
    </cfRule>
  </conditionalFormatting>
  <conditionalFormatting sqref="A15:D19">
    <cfRule type="expression" dxfId="17" priority="16">
      <formula>$B$7=5</formula>
    </cfRule>
  </conditionalFormatting>
  <conditionalFormatting sqref="A16:D19">
    <cfRule type="expression" dxfId="16" priority="17">
      <formula>$B$7=6</formula>
    </cfRule>
  </conditionalFormatting>
  <conditionalFormatting sqref="A17:D19">
    <cfRule type="expression" dxfId="15" priority="18">
      <formula>$B$7=7</formula>
    </cfRule>
  </conditionalFormatting>
  <conditionalFormatting sqref="A18:D19">
    <cfRule type="expression" dxfId="14" priority="19">
      <formula>$B$7=8</formula>
    </cfRule>
  </conditionalFormatting>
  <conditionalFormatting sqref="A19:D19">
    <cfRule type="expression" dxfId="13" priority="20">
      <formula>$B$7=9</formula>
    </cfRule>
  </conditionalFormatting>
  <conditionalFormatting sqref="A11:D19">
    <cfRule type="expression" dxfId="12" priority="21">
      <formula>$B$7=1</formula>
    </cfRule>
    <cfRule type="expression" dxfId="11" priority="22">
      <formula>$B$7="(Campo desplegable)"</formula>
    </cfRule>
  </conditionalFormatting>
  <dataValidations xWindow="924" yWindow="642" count="1">
    <dataValidation type="list" allowBlank="1" showInputMessage="1" showErrorMessage="1" sqref="B7" xr:uid="{ECE01C20-F240-4670-935F-BDC940188BDE}">
      <formula1>"(Campo desplegable),1,2,3,4,5,6,7,8,9,10"</formula1>
    </dataValidation>
  </dataValidations>
  <hyperlinks>
    <hyperlink ref="C10" location="'Equipo 1'!A1" display="IR A EQUIPO 1" xr:uid="{3288F2D6-422B-4C54-A4FB-EDC44A7EF479}"/>
    <hyperlink ref="C11:C19" location="'Equipo 1'!A1" display="IR A EQUIPO 1" xr:uid="{FE60DB76-2F2C-4CA5-B032-9AEF25BD2460}"/>
    <hyperlink ref="C11" location="'Equipo 2'!A1" display="IR A EQUIPO 2" xr:uid="{83DEF40F-7E2A-4145-9057-114A0B4B313D}"/>
    <hyperlink ref="C12" location="'Equipo 3'!A1" display="IR A EQUIPO 3" xr:uid="{483AB475-29B6-4271-96B6-9DD410966353}"/>
    <hyperlink ref="C13" location="'Equipo 4'!A1" display="IR A EQUIPO 4" xr:uid="{06E4B6DF-B6AB-4F7D-A5B2-3E9133E879A5}"/>
    <hyperlink ref="C14" location="'Equipo 5'!A1" display="IR A EQUIPO 5" xr:uid="{6DE275BC-B4E4-4CA7-8952-74CC8ECCF7B8}"/>
    <hyperlink ref="C15" location="'Equipo 6'!A1" display="IR A EQUIPO 6" xr:uid="{BA50F11C-C483-4608-ACB0-459544D71C71}"/>
    <hyperlink ref="C16" location="'Equipo 7'!A1" display="IR A EQUIPO 7" xr:uid="{1861958A-F001-49D1-AE58-D1185BDE9A77}"/>
    <hyperlink ref="C17" location="'Equipo 8'!A1" display="IR A EQUIPO 8" xr:uid="{3C78E582-D10A-45D3-8281-E45FAE4C878F}"/>
    <hyperlink ref="C18" location="'Equipo 9'!A1" display="IR A EQUIPO 9" xr:uid="{CDC06305-AD19-4690-92FE-16041FC03254}"/>
    <hyperlink ref="C19" location="'Equipo 10'!A1" display="IR A EQUIPO 10" xr:uid="{ABBCFC3C-7946-4E67-8C0F-735F3A56CCEE}"/>
  </hyperlinks>
  <pageMargins left="0.7" right="0.7" top="0.75" bottom="0.75" header="0.3" footer="0.3"/>
  <pageSetup paperSize="9" scale="2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A447-ECEE-4060-ACA9-DB6C471296A0}">
  <sheetPr codeName="Hoja6">
    <pageSetUpPr fitToPage="1"/>
  </sheetPr>
  <dimension ref="A1:J72"/>
  <sheetViews>
    <sheetView showGridLines="0" zoomScale="80" zoomScaleNormal="80" zoomScaleSheetLayoutView="68" workbookViewId="0">
      <pane xSplit="1" topLeftCell="B1" activePane="topRight" state="frozen"/>
      <selection pane="topRight" activeCell="E10" sqref="E10"/>
    </sheetView>
  </sheetViews>
  <sheetFormatPr baseColWidth="10" defaultRowHeight="15" x14ac:dyDescent="0.25"/>
  <cols>
    <col min="1" max="1" width="35.85546875" style="11" customWidth="1"/>
    <col min="2" max="2" width="51.140625" style="11" customWidth="1"/>
    <col min="3" max="3" width="14.85546875" style="11" customWidth="1"/>
    <col min="4" max="4" width="45.7109375" style="11" customWidth="1"/>
    <col min="5" max="5" width="14.5703125" style="11" customWidth="1"/>
    <col min="6" max="6" width="9.140625" style="11" customWidth="1"/>
    <col min="7" max="10" width="26.140625" style="11" hidden="1" customWidth="1"/>
    <col min="11" max="13" width="11.42578125" style="11"/>
    <col min="14" max="14" width="14.7109375" style="11" customWidth="1"/>
    <col min="15" max="16384" width="11.42578125" style="11"/>
  </cols>
  <sheetData>
    <row r="1" spans="1:10" ht="68.25" customHeight="1" x14ac:dyDescent="0.25">
      <c r="B1" s="329"/>
    </row>
    <row r="2" spans="1:10" ht="31.5" customHeight="1" x14ac:dyDescent="0.5">
      <c r="A2" s="360" t="s">
        <v>386</v>
      </c>
      <c r="B2" s="361"/>
      <c r="C2" s="361"/>
      <c r="D2" s="361"/>
      <c r="E2" s="361"/>
    </row>
    <row r="3" spans="1:10" s="9" customFormat="1" ht="13.5" customHeight="1" thickBot="1" x14ac:dyDescent="0.55000000000000004">
      <c r="A3" s="50"/>
      <c r="B3" s="50"/>
      <c r="C3" s="50"/>
      <c r="D3" s="50"/>
      <c r="E3" s="50"/>
      <c r="F3" s="50"/>
      <c r="G3" s="50"/>
    </row>
    <row r="4" spans="1:10" ht="49.5" customHeight="1" thickBot="1" x14ac:dyDescent="0.3">
      <c r="A4" s="98" t="s">
        <v>511</v>
      </c>
      <c r="B4" s="344" t="str">
        <f>IF('Datos generales'!B11:C11="(Campo desplegable)","Indicar en la hoja de 'Datos generales'",'Datos generales'!B11:C11)</f>
        <v>Indicar en la hoja de 'Datos generales'</v>
      </c>
      <c r="C4" s="463"/>
      <c r="D4" s="463"/>
      <c r="E4" s="345"/>
      <c r="F4" s="215"/>
      <c r="G4" s="57"/>
      <c r="H4" s="186"/>
      <c r="I4" s="186"/>
    </row>
    <row r="5" spans="1:10" ht="16.5" customHeight="1" x14ac:dyDescent="0.25">
      <c r="A5" s="187"/>
      <c r="B5" s="188"/>
      <c r="C5" s="189"/>
      <c r="D5" s="189"/>
      <c r="G5" s="186"/>
      <c r="H5" s="186"/>
      <c r="I5" s="186"/>
    </row>
    <row r="6" spans="1:10" ht="27" customHeight="1" x14ac:dyDescent="0.4">
      <c r="A6" s="187"/>
      <c r="B6" s="464" t="s">
        <v>65</v>
      </c>
      <c r="C6" s="465"/>
      <c r="D6" s="465"/>
      <c r="E6" s="465"/>
    </row>
    <row r="7" spans="1:10" s="218" customFormat="1" ht="22.5" customHeight="1" x14ac:dyDescent="0.25">
      <c r="A7" s="216"/>
      <c r="B7" s="216"/>
      <c r="C7" s="216"/>
      <c r="D7" s="217"/>
      <c r="G7" s="219"/>
      <c r="H7" s="217"/>
    </row>
    <row r="8" spans="1:10" s="9" customFormat="1" ht="30" customHeight="1" thickBot="1" x14ac:dyDescent="0.3">
      <c r="B8" s="454"/>
      <c r="C8" s="454"/>
      <c r="D8" s="454"/>
      <c r="E8" s="220"/>
      <c r="F8" s="221"/>
    </row>
    <row r="9" spans="1:10" s="9" customFormat="1" ht="33" customHeight="1" thickBot="1" x14ac:dyDescent="0.3">
      <c r="A9" s="222" t="s">
        <v>74</v>
      </c>
      <c r="B9" s="444" t="s">
        <v>342</v>
      </c>
      <c r="C9" s="445"/>
      <c r="D9" s="445"/>
      <c r="E9" s="446"/>
      <c r="G9" s="223" t="s">
        <v>291</v>
      </c>
      <c r="H9" s="223" t="s">
        <v>292</v>
      </c>
      <c r="I9" s="223" t="s">
        <v>293</v>
      </c>
      <c r="J9" s="223" t="s">
        <v>294</v>
      </c>
    </row>
    <row r="10" spans="1:10" s="9" customFormat="1" ht="84" customHeight="1" x14ac:dyDescent="0.25">
      <c r="A10" s="224" t="s">
        <v>135</v>
      </c>
      <c r="B10" s="442" t="s">
        <v>334</v>
      </c>
      <c r="C10" s="442"/>
      <c r="D10" s="442"/>
      <c r="E10" s="36">
        <v>0</v>
      </c>
      <c r="F10" s="436"/>
      <c r="G10" s="225" t="s">
        <v>295</v>
      </c>
      <c r="H10" s="225"/>
      <c r="I10" s="225" t="s">
        <v>295</v>
      </c>
      <c r="J10" s="225"/>
    </row>
    <row r="11" spans="1:10" s="9" customFormat="1" ht="84" customHeight="1" x14ac:dyDescent="0.25">
      <c r="A11" s="224"/>
      <c r="B11" s="226" t="s">
        <v>52</v>
      </c>
      <c r="C11" s="441"/>
      <c r="D11" s="441"/>
      <c r="E11" s="441"/>
      <c r="F11" s="436"/>
      <c r="G11" s="97"/>
      <c r="H11" s="97"/>
      <c r="I11" s="97"/>
      <c r="J11" s="97"/>
    </row>
    <row r="12" spans="1:10" s="9" customFormat="1" ht="84" customHeight="1" x14ac:dyDescent="0.25">
      <c r="A12" s="224"/>
      <c r="B12" s="442" t="s">
        <v>401</v>
      </c>
      <c r="C12" s="442"/>
      <c r="D12" s="442"/>
      <c r="E12" s="36">
        <v>0</v>
      </c>
      <c r="F12" s="436"/>
      <c r="G12" s="225" t="s">
        <v>295</v>
      </c>
      <c r="H12" s="225"/>
      <c r="I12" s="225" t="s">
        <v>295</v>
      </c>
      <c r="J12" s="225"/>
    </row>
    <row r="13" spans="1:10" s="9" customFormat="1" ht="84" customHeight="1" x14ac:dyDescent="0.25">
      <c r="A13" s="224"/>
      <c r="B13" s="226" t="s">
        <v>52</v>
      </c>
      <c r="C13" s="441"/>
      <c r="D13" s="441"/>
      <c r="E13" s="441"/>
      <c r="F13" s="436"/>
      <c r="G13" s="97"/>
      <c r="H13" s="97"/>
      <c r="I13" s="97"/>
      <c r="J13" s="97"/>
    </row>
    <row r="14" spans="1:10" s="9" customFormat="1" ht="84" customHeight="1" x14ac:dyDescent="0.25">
      <c r="A14" s="224"/>
      <c r="B14" s="443" t="s">
        <v>402</v>
      </c>
      <c r="C14" s="443"/>
      <c r="D14" s="443"/>
      <c r="E14" s="37">
        <v>0</v>
      </c>
      <c r="F14" s="436"/>
      <c r="G14" s="225"/>
      <c r="H14" s="225" t="s">
        <v>295</v>
      </c>
      <c r="I14" s="225" t="s">
        <v>295</v>
      </c>
      <c r="J14" s="225"/>
    </row>
    <row r="15" spans="1:10" s="9" customFormat="1" ht="84" customHeight="1" x14ac:dyDescent="0.25">
      <c r="A15" s="227"/>
      <c r="B15" s="226" t="s">
        <v>52</v>
      </c>
      <c r="C15" s="441"/>
      <c r="D15" s="441"/>
      <c r="E15" s="441"/>
      <c r="F15" s="436"/>
      <c r="G15" s="97"/>
      <c r="H15" s="97"/>
      <c r="I15" s="97"/>
      <c r="J15" s="97"/>
    </row>
    <row r="16" spans="1:10" s="9" customFormat="1" ht="84" customHeight="1" x14ac:dyDescent="0.25">
      <c r="A16" s="224" t="s">
        <v>136</v>
      </c>
      <c r="B16" s="442" t="s">
        <v>334</v>
      </c>
      <c r="C16" s="442"/>
      <c r="D16" s="442"/>
      <c r="E16" s="36">
        <v>0</v>
      </c>
      <c r="F16" s="436"/>
      <c r="G16" s="225" t="s">
        <v>295</v>
      </c>
      <c r="H16" s="225"/>
      <c r="I16" s="225" t="s">
        <v>295</v>
      </c>
      <c r="J16" s="225"/>
    </row>
    <row r="17" spans="1:10" s="9" customFormat="1" ht="84" customHeight="1" x14ac:dyDescent="0.25">
      <c r="A17" s="224"/>
      <c r="B17" s="226" t="s">
        <v>52</v>
      </c>
      <c r="C17" s="441"/>
      <c r="D17" s="441"/>
      <c r="E17" s="441"/>
      <c r="F17" s="436"/>
      <c r="G17" s="97"/>
      <c r="H17" s="97"/>
      <c r="I17" s="97"/>
      <c r="J17" s="97"/>
    </row>
    <row r="18" spans="1:10" s="9" customFormat="1" ht="84" customHeight="1" x14ac:dyDescent="0.25">
      <c r="A18" s="224"/>
      <c r="B18" s="442" t="s">
        <v>403</v>
      </c>
      <c r="C18" s="442"/>
      <c r="D18" s="442"/>
      <c r="E18" s="36">
        <v>0</v>
      </c>
      <c r="F18" s="436"/>
      <c r="G18" s="225" t="s">
        <v>295</v>
      </c>
      <c r="H18" s="225"/>
      <c r="I18" s="225" t="s">
        <v>295</v>
      </c>
      <c r="J18" s="225"/>
    </row>
    <row r="19" spans="1:10" s="9" customFormat="1" ht="84" customHeight="1" x14ac:dyDescent="0.25">
      <c r="A19" s="224"/>
      <c r="B19" s="226" t="s">
        <v>52</v>
      </c>
      <c r="C19" s="441"/>
      <c r="D19" s="441"/>
      <c r="E19" s="441"/>
      <c r="F19" s="436"/>
      <c r="G19" s="97"/>
      <c r="H19" s="97"/>
      <c r="I19" s="97"/>
      <c r="J19" s="97"/>
    </row>
    <row r="20" spans="1:10" s="9" customFormat="1" ht="84" customHeight="1" x14ac:dyDescent="0.25">
      <c r="A20" s="224"/>
      <c r="B20" s="443" t="s">
        <v>402</v>
      </c>
      <c r="C20" s="443"/>
      <c r="D20" s="443"/>
      <c r="E20" s="37">
        <v>0</v>
      </c>
      <c r="F20" s="436"/>
      <c r="G20" s="225"/>
      <c r="H20" s="225" t="s">
        <v>295</v>
      </c>
      <c r="I20" s="225" t="s">
        <v>295</v>
      </c>
      <c r="J20" s="225"/>
    </row>
    <row r="21" spans="1:10" s="9" customFormat="1" ht="84" customHeight="1" x14ac:dyDescent="0.25">
      <c r="A21" s="227"/>
      <c r="B21" s="226" t="s">
        <v>52</v>
      </c>
      <c r="C21" s="441"/>
      <c r="D21" s="441"/>
      <c r="E21" s="441"/>
      <c r="F21" s="436"/>
      <c r="G21" s="97"/>
      <c r="H21" s="97"/>
      <c r="I21" s="97"/>
      <c r="J21" s="97"/>
    </row>
    <row r="22" spans="1:10" s="9" customFormat="1" ht="84" customHeight="1" x14ac:dyDescent="0.25">
      <c r="A22" s="224" t="s">
        <v>137</v>
      </c>
      <c r="B22" s="442" t="s">
        <v>334</v>
      </c>
      <c r="C22" s="442"/>
      <c r="D22" s="442"/>
      <c r="E22" s="36">
        <v>0</v>
      </c>
      <c r="F22" s="436"/>
      <c r="G22" s="225" t="s">
        <v>295</v>
      </c>
      <c r="H22" s="225"/>
      <c r="I22" s="225" t="s">
        <v>295</v>
      </c>
      <c r="J22" s="225"/>
    </row>
    <row r="23" spans="1:10" s="9" customFormat="1" ht="84" customHeight="1" x14ac:dyDescent="0.25">
      <c r="A23" s="224"/>
      <c r="B23" s="226" t="s">
        <v>52</v>
      </c>
      <c r="C23" s="441"/>
      <c r="D23" s="441"/>
      <c r="E23" s="441"/>
      <c r="F23" s="436"/>
      <c r="G23" s="97"/>
      <c r="H23" s="97"/>
      <c r="I23" s="97"/>
      <c r="J23" s="97"/>
    </row>
    <row r="24" spans="1:10" s="9" customFormat="1" ht="84" customHeight="1" x14ac:dyDescent="0.25">
      <c r="A24" s="224"/>
      <c r="B24" s="442" t="s">
        <v>401</v>
      </c>
      <c r="C24" s="442"/>
      <c r="D24" s="442"/>
      <c r="E24" s="36">
        <v>0</v>
      </c>
      <c r="F24" s="436"/>
      <c r="G24" s="225" t="s">
        <v>295</v>
      </c>
      <c r="H24" s="225"/>
      <c r="I24" s="225" t="s">
        <v>295</v>
      </c>
      <c r="J24" s="225"/>
    </row>
    <row r="25" spans="1:10" s="9" customFormat="1" ht="84" customHeight="1" x14ac:dyDescent="0.25">
      <c r="A25" s="224"/>
      <c r="B25" s="226" t="s">
        <v>52</v>
      </c>
      <c r="C25" s="441"/>
      <c r="D25" s="441"/>
      <c r="E25" s="441"/>
      <c r="F25" s="436"/>
      <c r="G25" s="97"/>
      <c r="H25" s="97"/>
      <c r="I25" s="97"/>
      <c r="J25" s="97"/>
    </row>
    <row r="26" spans="1:10" s="9" customFormat="1" ht="84" customHeight="1" x14ac:dyDescent="0.25">
      <c r="A26" s="224"/>
      <c r="B26" s="443" t="s">
        <v>402</v>
      </c>
      <c r="C26" s="443"/>
      <c r="D26" s="443"/>
      <c r="E26" s="37">
        <v>0</v>
      </c>
      <c r="F26" s="436"/>
      <c r="G26" s="225"/>
      <c r="H26" s="225" t="s">
        <v>295</v>
      </c>
      <c r="I26" s="225" t="s">
        <v>295</v>
      </c>
      <c r="J26" s="225"/>
    </row>
    <row r="27" spans="1:10" s="9" customFormat="1" ht="84" customHeight="1" x14ac:dyDescent="0.25">
      <c r="A27" s="227"/>
      <c r="B27" s="226" t="s">
        <v>52</v>
      </c>
      <c r="C27" s="441"/>
      <c r="D27" s="441"/>
      <c r="E27" s="441"/>
      <c r="F27" s="436"/>
      <c r="G27" s="97"/>
      <c r="H27" s="97"/>
      <c r="I27" s="97"/>
      <c r="J27" s="97"/>
    </row>
    <row r="28" spans="1:10" s="9" customFormat="1" ht="84" customHeight="1" x14ac:dyDescent="0.25">
      <c r="A28" s="224" t="s">
        <v>289</v>
      </c>
      <c r="B28" s="442" t="s">
        <v>334</v>
      </c>
      <c r="C28" s="442"/>
      <c r="D28" s="442"/>
      <c r="E28" s="36">
        <v>0</v>
      </c>
      <c r="F28" s="436"/>
      <c r="G28" s="225" t="s">
        <v>295</v>
      </c>
      <c r="H28" s="225"/>
      <c r="I28" s="225" t="s">
        <v>295</v>
      </c>
      <c r="J28" s="225"/>
    </row>
    <row r="29" spans="1:10" s="9" customFormat="1" ht="84" customHeight="1" x14ac:dyDescent="0.25">
      <c r="A29" s="224"/>
      <c r="B29" s="226" t="s">
        <v>52</v>
      </c>
      <c r="C29" s="441"/>
      <c r="D29" s="441"/>
      <c r="E29" s="441"/>
      <c r="F29" s="436"/>
      <c r="G29" s="97"/>
      <c r="H29" s="97"/>
      <c r="I29" s="97"/>
      <c r="J29" s="97"/>
    </row>
    <row r="30" spans="1:10" s="9" customFormat="1" ht="84" customHeight="1" x14ac:dyDescent="0.25">
      <c r="A30" s="224"/>
      <c r="B30" s="442" t="s">
        <v>403</v>
      </c>
      <c r="C30" s="442"/>
      <c r="D30" s="442"/>
      <c r="E30" s="36">
        <v>0</v>
      </c>
      <c r="F30" s="436"/>
      <c r="G30" s="225" t="s">
        <v>295</v>
      </c>
      <c r="H30" s="225"/>
      <c r="I30" s="225" t="s">
        <v>295</v>
      </c>
      <c r="J30" s="225"/>
    </row>
    <row r="31" spans="1:10" s="9" customFormat="1" ht="84" customHeight="1" x14ac:dyDescent="0.25">
      <c r="A31" s="224"/>
      <c r="B31" s="226" t="s">
        <v>52</v>
      </c>
      <c r="C31" s="441"/>
      <c r="D31" s="441"/>
      <c r="E31" s="441"/>
      <c r="F31" s="436"/>
      <c r="G31" s="97"/>
      <c r="H31" s="97"/>
      <c r="I31" s="97"/>
      <c r="J31" s="97"/>
    </row>
    <row r="32" spans="1:10" s="9" customFormat="1" ht="84" customHeight="1" x14ac:dyDescent="0.25">
      <c r="A32" s="224"/>
      <c r="B32" s="443" t="s">
        <v>402</v>
      </c>
      <c r="C32" s="443"/>
      <c r="D32" s="443"/>
      <c r="E32" s="37">
        <v>0</v>
      </c>
      <c r="F32" s="436"/>
      <c r="G32" s="225"/>
      <c r="H32" s="225" t="s">
        <v>295</v>
      </c>
      <c r="I32" s="225" t="s">
        <v>295</v>
      </c>
      <c r="J32" s="225"/>
    </row>
    <row r="33" spans="1:10" s="9" customFormat="1" ht="84" customHeight="1" thickBot="1" x14ac:dyDescent="0.3">
      <c r="A33" s="227"/>
      <c r="B33" s="226" t="s">
        <v>52</v>
      </c>
      <c r="C33" s="441"/>
      <c r="D33" s="441"/>
      <c r="E33" s="441"/>
      <c r="F33" s="436"/>
      <c r="G33" s="97"/>
      <c r="H33" s="97"/>
      <c r="I33" s="97"/>
      <c r="J33" s="97"/>
    </row>
    <row r="34" spans="1:10" s="9" customFormat="1" ht="69" customHeight="1" thickBot="1" x14ac:dyDescent="0.3">
      <c r="A34" s="228" t="s">
        <v>387</v>
      </c>
      <c r="B34" s="455" t="s">
        <v>69</v>
      </c>
      <c r="C34" s="422"/>
      <c r="D34" s="423"/>
      <c r="E34" s="229">
        <f>SUM(E10,E12,E14,E16,E18,E20,E22,E24,E26,E28,E30,E32)</f>
        <v>0</v>
      </c>
      <c r="G34" s="230">
        <f>SUMIF(G10:G32,"X",$E$10:$E$32)</f>
        <v>0</v>
      </c>
      <c r="H34" s="230">
        <f t="shared" ref="H34:I34" si="0">SUMIF(H10:H32,"X",$E$10:$E$32)</f>
        <v>0</v>
      </c>
      <c r="I34" s="230">
        <f t="shared" si="0"/>
        <v>0</v>
      </c>
      <c r="J34" s="230">
        <f>SUMIF(J10:J32,"X",$E$10:$E$32)</f>
        <v>0</v>
      </c>
    </row>
    <row r="35" spans="1:10" s="9" customFormat="1" ht="69" customHeight="1" thickBot="1" x14ac:dyDescent="0.3">
      <c r="A35" s="231"/>
      <c r="B35" s="100"/>
      <c r="C35" s="232"/>
      <c r="D35" s="233"/>
      <c r="G35" s="97"/>
      <c r="H35" s="97"/>
      <c r="I35" s="97"/>
      <c r="J35" s="97"/>
    </row>
    <row r="36" spans="1:10" s="9" customFormat="1" ht="42" customHeight="1" thickBot="1" x14ac:dyDescent="0.3">
      <c r="A36" s="222" t="s">
        <v>75</v>
      </c>
      <c r="B36" s="444" t="s">
        <v>342</v>
      </c>
      <c r="C36" s="445"/>
      <c r="D36" s="445"/>
      <c r="E36" s="446"/>
      <c r="G36" s="97"/>
      <c r="H36" s="97"/>
      <c r="I36" s="97"/>
      <c r="J36" s="97"/>
    </row>
    <row r="37" spans="1:10" s="9" customFormat="1" ht="47.25" customHeight="1" x14ac:dyDescent="0.25">
      <c r="A37" s="234" t="s">
        <v>48</v>
      </c>
      <c r="B37" s="437" t="s">
        <v>421</v>
      </c>
      <c r="C37" s="438"/>
      <c r="D37" s="438"/>
      <c r="E37" s="439"/>
      <c r="G37" s="97"/>
      <c r="H37" s="97"/>
      <c r="I37" s="97"/>
      <c r="J37" s="97"/>
    </row>
    <row r="38" spans="1:10" s="189" customFormat="1" ht="45.75" customHeight="1" x14ac:dyDescent="0.25">
      <c r="A38" s="411" t="s">
        <v>279</v>
      </c>
      <c r="B38" s="235" t="s">
        <v>363</v>
      </c>
      <c r="C38" s="427"/>
      <c r="D38" s="428"/>
      <c r="E38" s="429"/>
      <c r="G38" s="236"/>
      <c r="H38" s="236"/>
      <c r="I38" s="236"/>
      <c r="J38" s="236"/>
    </row>
    <row r="39" spans="1:10" s="189" customFormat="1" ht="45.75" customHeight="1" x14ac:dyDescent="0.25">
      <c r="A39" s="411"/>
      <c r="B39" s="456" t="s">
        <v>277</v>
      </c>
      <c r="C39" s="456"/>
      <c r="D39" s="456"/>
      <c r="E39" s="263" t="s">
        <v>278</v>
      </c>
      <c r="F39" s="237"/>
      <c r="G39" s="236"/>
      <c r="H39" s="236"/>
      <c r="I39" s="236"/>
      <c r="J39" s="236"/>
    </row>
    <row r="40" spans="1:10" s="189" customFormat="1" ht="45.75" customHeight="1" x14ac:dyDescent="0.25">
      <c r="A40" s="411"/>
      <c r="B40" s="430" t="s">
        <v>332</v>
      </c>
      <c r="C40" s="430"/>
      <c r="D40" s="430"/>
      <c r="E40" s="34">
        <v>0</v>
      </c>
      <c r="G40" s="238"/>
      <c r="H40" s="236"/>
      <c r="I40" s="236"/>
      <c r="J40" s="236"/>
    </row>
    <row r="41" spans="1:10" s="9" customFormat="1" ht="69.75" customHeight="1" x14ac:dyDescent="0.25">
      <c r="A41" s="411"/>
      <c r="B41" s="440" t="s">
        <v>515</v>
      </c>
      <c r="C41" s="440"/>
      <c r="D41" s="440"/>
      <c r="E41" s="41">
        <v>0</v>
      </c>
      <c r="H41" s="97"/>
      <c r="I41" s="97"/>
      <c r="J41" s="97"/>
    </row>
    <row r="42" spans="1:10" s="9" customFormat="1" ht="69.75" customHeight="1" x14ac:dyDescent="0.25">
      <c r="A42" s="411"/>
      <c r="B42" s="430" t="s">
        <v>281</v>
      </c>
      <c r="C42" s="430"/>
      <c r="D42" s="430"/>
      <c r="E42" s="35">
        <v>1</v>
      </c>
      <c r="F42" s="239"/>
      <c r="G42" s="239"/>
      <c r="H42" s="239"/>
      <c r="I42" s="97"/>
      <c r="J42" s="97"/>
    </row>
    <row r="43" spans="1:10" s="9" customFormat="1" ht="69.75" customHeight="1" x14ac:dyDescent="0.25">
      <c r="A43" s="411"/>
      <c r="B43" s="431" t="s">
        <v>393</v>
      </c>
      <c r="C43" s="431"/>
      <c r="D43" s="431"/>
      <c r="E43" s="34">
        <v>0</v>
      </c>
      <c r="F43" s="239"/>
      <c r="G43" s="239"/>
      <c r="H43" s="239"/>
      <c r="I43" s="97"/>
      <c r="J43" s="97"/>
    </row>
    <row r="44" spans="1:10" s="9" customFormat="1" ht="69.75" customHeight="1" x14ac:dyDescent="0.25">
      <c r="A44" s="412"/>
      <c r="B44" s="431" t="s">
        <v>516</v>
      </c>
      <c r="C44" s="431"/>
      <c r="D44" s="431"/>
      <c r="E44" s="240">
        <f>((E40-E41)/3)*(E43/E42)</f>
        <v>0</v>
      </c>
      <c r="F44" s="239"/>
      <c r="G44" s="239"/>
      <c r="H44" s="97"/>
      <c r="I44" s="97"/>
      <c r="J44" s="97"/>
    </row>
    <row r="45" spans="1:10" s="9" customFormat="1" ht="47.25" customHeight="1" x14ac:dyDescent="0.25">
      <c r="A45" s="224" t="s">
        <v>280</v>
      </c>
      <c r="B45" s="437" t="s">
        <v>421</v>
      </c>
      <c r="C45" s="438"/>
      <c r="D45" s="438"/>
      <c r="E45" s="439"/>
      <c r="F45" s="239"/>
      <c r="G45" s="239"/>
      <c r="H45" s="97"/>
      <c r="I45" s="97"/>
      <c r="J45" s="97"/>
    </row>
    <row r="46" spans="1:10" ht="69" customHeight="1" x14ac:dyDescent="0.25">
      <c r="A46" s="411" t="s">
        <v>279</v>
      </c>
      <c r="B46" s="235" t="s">
        <v>363</v>
      </c>
      <c r="C46" s="427"/>
      <c r="D46" s="428"/>
      <c r="E46" s="429"/>
      <c r="F46" s="239"/>
      <c r="G46" s="239"/>
      <c r="H46" s="239"/>
      <c r="I46" s="95"/>
      <c r="J46" s="241"/>
    </row>
    <row r="47" spans="1:10" ht="69" customHeight="1" x14ac:dyDescent="0.25">
      <c r="A47" s="411"/>
      <c r="B47" s="456" t="s">
        <v>277</v>
      </c>
      <c r="C47" s="456"/>
      <c r="D47" s="456"/>
      <c r="E47" s="263" t="s">
        <v>278</v>
      </c>
      <c r="F47" s="232"/>
      <c r="G47" s="242"/>
      <c r="H47" s="242"/>
      <c r="I47" s="95"/>
      <c r="J47" s="241"/>
    </row>
    <row r="48" spans="1:10" ht="44.25" customHeight="1" x14ac:dyDescent="0.25">
      <c r="A48" s="411"/>
      <c r="B48" s="430" t="s">
        <v>332</v>
      </c>
      <c r="C48" s="430"/>
      <c r="D48" s="430"/>
      <c r="E48" s="34">
        <v>0</v>
      </c>
      <c r="G48" s="241"/>
      <c r="H48" s="95"/>
      <c r="I48" s="95"/>
      <c r="J48" s="95"/>
    </row>
    <row r="49" spans="1:10" s="189" customFormat="1" ht="70.5" customHeight="1" x14ac:dyDescent="0.25">
      <c r="A49" s="411"/>
      <c r="B49" s="440" t="s">
        <v>515</v>
      </c>
      <c r="C49" s="440"/>
      <c r="D49" s="440"/>
      <c r="E49" s="41">
        <v>0</v>
      </c>
      <c r="F49" s="232"/>
      <c r="G49" s="243"/>
      <c r="H49" s="236"/>
      <c r="I49" s="236"/>
      <c r="J49" s="236"/>
    </row>
    <row r="50" spans="1:10" s="189" customFormat="1" ht="70.5" customHeight="1" x14ac:dyDescent="0.25">
      <c r="A50" s="411"/>
      <c r="B50" s="430" t="s">
        <v>281</v>
      </c>
      <c r="C50" s="430"/>
      <c r="D50" s="430"/>
      <c r="E50" s="35">
        <v>1</v>
      </c>
      <c r="G50" s="243"/>
      <c r="H50" s="236"/>
      <c r="I50" s="236"/>
      <c r="J50" s="236"/>
    </row>
    <row r="51" spans="1:10" ht="70.5" customHeight="1" x14ac:dyDescent="0.25">
      <c r="A51" s="411"/>
      <c r="B51" s="431" t="s">
        <v>393</v>
      </c>
      <c r="C51" s="431"/>
      <c r="D51" s="431"/>
      <c r="E51" s="34">
        <v>0</v>
      </c>
      <c r="G51" s="241"/>
      <c r="H51" s="95"/>
      <c r="I51" s="95"/>
      <c r="J51" s="95"/>
    </row>
    <row r="52" spans="1:10" ht="67.5" customHeight="1" thickBot="1" x14ac:dyDescent="0.3">
      <c r="A52" s="435"/>
      <c r="B52" s="432" t="s">
        <v>517</v>
      </c>
      <c r="C52" s="431"/>
      <c r="D52" s="431"/>
      <c r="E52" s="244">
        <f>((E48-E49)/3)*(E51/E50)</f>
        <v>0</v>
      </c>
      <c r="F52" s="232"/>
      <c r="G52" s="245"/>
      <c r="H52" s="245"/>
      <c r="I52" s="95"/>
      <c r="J52" s="95"/>
    </row>
    <row r="53" spans="1:10" s="247" customFormat="1" ht="83.25" customHeight="1" thickBot="1" x14ac:dyDescent="0.3">
      <c r="A53" s="246" t="s">
        <v>388</v>
      </c>
      <c r="B53" s="457" t="s">
        <v>69</v>
      </c>
      <c r="C53" s="458"/>
      <c r="D53" s="458"/>
      <c r="E53" s="229">
        <f>SUM(E44,E52)</f>
        <v>0</v>
      </c>
      <c r="G53" s="248" t="s">
        <v>295</v>
      </c>
      <c r="H53" s="248"/>
      <c r="I53" s="248"/>
      <c r="J53" s="248"/>
    </row>
    <row r="54" spans="1:10" ht="57" customHeight="1" thickBot="1" x14ac:dyDescent="0.3">
      <c r="A54" s="231"/>
      <c r="B54" s="233"/>
      <c r="C54" s="249"/>
      <c r="D54" s="232"/>
      <c r="E54" s="231"/>
      <c r="F54" s="185"/>
      <c r="G54" s="230">
        <f>SUMIF(G53,"X",$E$53)</f>
        <v>0</v>
      </c>
      <c r="H54" s="230">
        <f t="shared" ref="H54" si="1">SUMIF(H53,"X",$E$53)</f>
        <v>0</v>
      </c>
      <c r="I54" s="230">
        <f>SUMIF(I53,"X",$E$53)</f>
        <v>0</v>
      </c>
      <c r="J54" s="230">
        <f>SUMIF(J53,"X",$E$53)</f>
        <v>0</v>
      </c>
    </row>
    <row r="55" spans="1:10" ht="67.5" customHeight="1" thickBot="1" x14ac:dyDescent="0.3">
      <c r="A55" s="222" t="s">
        <v>76</v>
      </c>
      <c r="B55" s="459" t="s">
        <v>342</v>
      </c>
      <c r="C55" s="460"/>
      <c r="D55" s="460"/>
      <c r="E55" s="250" t="s">
        <v>330</v>
      </c>
      <c r="G55" s="95"/>
      <c r="H55" s="95"/>
      <c r="I55" s="95"/>
      <c r="J55" s="95"/>
    </row>
    <row r="56" spans="1:10" ht="86.25" customHeight="1" x14ac:dyDescent="0.25">
      <c r="A56" s="227" t="s">
        <v>418</v>
      </c>
      <c r="B56" s="251" t="s">
        <v>519</v>
      </c>
      <c r="C56" s="433"/>
      <c r="D56" s="434"/>
      <c r="E56" s="264">
        <v>0</v>
      </c>
      <c r="G56" s="252"/>
      <c r="H56" s="95"/>
      <c r="I56" s="95"/>
      <c r="J56" s="95"/>
    </row>
    <row r="57" spans="1:10" ht="86.25" customHeight="1" thickBot="1" x14ac:dyDescent="0.3">
      <c r="A57" s="224" t="s">
        <v>419</v>
      </c>
      <c r="B57" s="251" t="s">
        <v>519</v>
      </c>
      <c r="C57" s="461"/>
      <c r="D57" s="462"/>
      <c r="E57" s="265">
        <v>0</v>
      </c>
      <c r="F57" s="249"/>
      <c r="G57" s="243"/>
      <c r="H57" s="253"/>
      <c r="I57" s="254"/>
      <c r="J57" s="95"/>
    </row>
    <row r="58" spans="1:10" ht="45.75" customHeight="1" thickBot="1" x14ac:dyDescent="0.3">
      <c r="A58" s="246" t="s">
        <v>389</v>
      </c>
      <c r="B58" s="455" t="s">
        <v>69</v>
      </c>
      <c r="C58" s="422"/>
      <c r="D58" s="423"/>
      <c r="E58" s="255">
        <f>SUM(E56:E57)</f>
        <v>0</v>
      </c>
      <c r="G58" s="248" t="s">
        <v>295</v>
      </c>
      <c r="H58" s="248"/>
      <c r="I58" s="248" t="s">
        <v>295</v>
      </c>
      <c r="J58" s="248"/>
    </row>
    <row r="59" spans="1:10" ht="68.25" customHeight="1" thickBot="1" x14ac:dyDescent="0.3">
      <c r="A59" s="231"/>
      <c r="B59" s="253"/>
      <c r="C59" s="253"/>
      <c r="D59" s="253"/>
      <c r="E59" s="233"/>
      <c r="G59" s="230">
        <f>SUMIF(G58,"X",$E$58)</f>
        <v>0</v>
      </c>
      <c r="H59" s="230">
        <f t="shared" ref="H59:J59" si="2">SUMIF(H58,"X",$E$58)</f>
        <v>0</v>
      </c>
      <c r="I59" s="230">
        <f>SUMIF(I58,"X",$E$58)</f>
        <v>0</v>
      </c>
      <c r="J59" s="230">
        <f t="shared" si="2"/>
        <v>0</v>
      </c>
    </row>
    <row r="60" spans="1:10" ht="27" customHeight="1" thickBot="1" x14ac:dyDescent="0.3">
      <c r="A60" s="256" t="s">
        <v>77</v>
      </c>
      <c r="B60" s="459" t="s">
        <v>342</v>
      </c>
      <c r="C60" s="460"/>
      <c r="D60" s="460"/>
      <c r="E60" s="466"/>
      <c r="G60" s="95"/>
      <c r="H60" s="95"/>
      <c r="I60" s="95"/>
      <c r="J60" s="95"/>
    </row>
    <row r="61" spans="1:10" ht="46.5" customHeight="1" x14ac:dyDescent="0.25">
      <c r="A61" s="447" t="s">
        <v>343</v>
      </c>
      <c r="B61" s="257" t="s">
        <v>364</v>
      </c>
      <c r="C61" s="449"/>
      <c r="D61" s="450"/>
      <c r="E61" s="451"/>
      <c r="G61" s="95"/>
      <c r="H61" s="95"/>
      <c r="I61" s="95"/>
      <c r="J61" s="95"/>
    </row>
    <row r="62" spans="1:10" ht="54.75" customHeight="1" x14ac:dyDescent="0.25">
      <c r="A62" s="447"/>
      <c r="B62" s="416" t="s">
        <v>345</v>
      </c>
      <c r="C62" s="416"/>
      <c r="D62" s="416"/>
      <c r="E62" s="266">
        <v>0</v>
      </c>
      <c r="G62" s="95"/>
      <c r="H62" s="95"/>
      <c r="I62" s="95"/>
      <c r="J62" s="95"/>
    </row>
    <row r="63" spans="1:10" ht="54.75" customHeight="1" x14ac:dyDescent="0.25">
      <c r="A63" s="447"/>
      <c r="B63" s="417" t="s">
        <v>331</v>
      </c>
      <c r="C63" s="417"/>
      <c r="D63" s="417"/>
      <c r="E63" s="267">
        <v>0</v>
      </c>
      <c r="G63" s="95"/>
      <c r="H63" s="95"/>
      <c r="I63" s="95"/>
      <c r="J63" s="95"/>
    </row>
    <row r="64" spans="1:10" ht="54.75" customHeight="1" x14ac:dyDescent="0.25">
      <c r="A64" s="448"/>
      <c r="B64" s="417" t="s">
        <v>523</v>
      </c>
      <c r="C64" s="417"/>
      <c r="D64" s="417"/>
      <c r="E64" s="258">
        <f>(E63/8760)*E62</f>
        <v>0</v>
      </c>
      <c r="G64" s="95"/>
      <c r="H64" s="95"/>
      <c r="I64" s="95"/>
      <c r="J64" s="95"/>
    </row>
    <row r="65" spans="1:10" ht="54.75" customHeight="1" x14ac:dyDescent="0.25">
      <c r="A65" s="224" t="s">
        <v>344</v>
      </c>
      <c r="B65" s="257" t="s">
        <v>364</v>
      </c>
      <c r="C65" s="427"/>
      <c r="D65" s="428"/>
      <c r="E65" s="429"/>
      <c r="G65" s="95"/>
      <c r="H65" s="95"/>
      <c r="I65" s="95"/>
      <c r="J65" s="95"/>
    </row>
    <row r="66" spans="1:10" ht="54.75" customHeight="1" x14ac:dyDescent="0.25">
      <c r="A66" s="452"/>
      <c r="B66" s="417" t="s">
        <v>345</v>
      </c>
      <c r="C66" s="417"/>
      <c r="D66" s="417"/>
      <c r="E66" s="268">
        <v>0</v>
      </c>
      <c r="G66" s="95"/>
      <c r="H66" s="95"/>
      <c r="I66" s="95"/>
      <c r="J66" s="95"/>
    </row>
    <row r="67" spans="1:10" ht="54.75" customHeight="1" x14ac:dyDescent="0.25">
      <c r="A67" s="452"/>
      <c r="B67" s="417" t="s">
        <v>331</v>
      </c>
      <c r="C67" s="417"/>
      <c r="D67" s="417"/>
      <c r="E67" s="32">
        <v>0</v>
      </c>
      <c r="G67" s="95"/>
      <c r="H67" s="95"/>
      <c r="I67" s="95"/>
      <c r="J67" s="95"/>
    </row>
    <row r="68" spans="1:10" ht="52.5" customHeight="1" thickBot="1" x14ac:dyDescent="0.3">
      <c r="A68" s="453"/>
      <c r="B68" s="417" t="s">
        <v>524</v>
      </c>
      <c r="C68" s="417"/>
      <c r="D68" s="417"/>
      <c r="E68" s="259">
        <f>(E67/8760)*E66</f>
        <v>0</v>
      </c>
    </row>
    <row r="69" spans="1:10" ht="42" customHeight="1" thickBot="1" x14ac:dyDescent="0.3">
      <c r="A69" s="260" t="s">
        <v>390</v>
      </c>
      <c r="B69" s="421" t="s">
        <v>69</v>
      </c>
      <c r="C69" s="422"/>
      <c r="D69" s="423"/>
      <c r="E69" s="261">
        <f>SUM(E64,E68)</f>
        <v>0</v>
      </c>
      <c r="G69" s="248"/>
      <c r="H69" s="248" t="s">
        <v>295</v>
      </c>
      <c r="I69" s="248"/>
      <c r="J69" s="248"/>
    </row>
    <row r="70" spans="1:10" ht="43.5" customHeight="1" thickBot="1" x14ac:dyDescent="0.3">
      <c r="B70" s="418"/>
      <c r="C70" s="419"/>
      <c r="D70" s="420"/>
      <c r="E70" s="186"/>
      <c r="G70" s="230">
        <f>SUMIF(G69,"X",$E$69)</f>
        <v>0</v>
      </c>
      <c r="H70" s="230">
        <f t="shared" ref="H70:J70" si="3">SUMIF(H69,"X",$E$69)</f>
        <v>0</v>
      </c>
      <c r="I70" s="230">
        <f t="shared" si="3"/>
        <v>0</v>
      </c>
      <c r="J70" s="230">
        <f t="shared" si="3"/>
        <v>0</v>
      </c>
    </row>
    <row r="71" spans="1:10" ht="43.5" customHeight="1" thickBot="1" x14ac:dyDescent="0.3">
      <c r="B71" s="424" t="s">
        <v>391</v>
      </c>
      <c r="C71" s="425"/>
      <c r="D71" s="426"/>
      <c r="E71" s="193" t="s">
        <v>25</v>
      </c>
      <c r="G71" s="223" t="s">
        <v>296</v>
      </c>
      <c r="H71" s="223" t="s">
        <v>297</v>
      </c>
      <c r="I71" s="223" t="s">
        <v>298</v>
      </c>
      <c r="J71" s="223" t="s">
        <v>299</v>
      </c>
    </row>
    <row r="72" spans="1:10" ht="41.25" customHeight="1" thickBot="1" x14ac:dyDescent="0.3">
      <c r="B72" s="413" t="s">
        <v>309</v>
      </c>
      <c r="C72" s="414"/>
      <c r="D72" s="415"/>
      <c r="E72" s="262">
        <f>SUM(E34,E53,E58,E69)</f>
        <v>0</v>
      </c>
      <c r="G72" s="230">
        <f>SUMIF(G10:G69,"X",$E$10:$E$69)</f>
        <v>0</v>
      </c>
      <c r="H72" s="230">
        <f>SUMIF(H10:H69,"X",$E$10:$E$69)</f>
        <v>0</v>
      </c>
      <c r="I72" s="230">
        <f>SUMIF(I10:I69,"X",$E$10:$E$69)</f>
        <v>0</v>
      </c>
      <c r="J72" s="230">
        <f>SUMIF(J10:J69,"X",$E$10:$E$69)</f>
        <v>0</v>
      </c>
    </row>
  </sheetData>
  <sheetProtection algorithmName="SHA-512" hashValue="tOC2mgulsvakdSlPJctDjNaGxStXy3HcmJs1fvVPMg8C/tzBGa0C1qJIb4s9cAv3C3JBRU3VqN6y9bJ4vyyaSw==" saltValue="J5s6ZmNiv6VKuyjbZ1WgKQ==" spinCount="100000" sheet="1" objects="1" scenarios="1"/>
  <mergeCells count="73">
    <mergeCell ref="B4:E4"/>
    <mergeCell ref="A2:E2"/>
    <mergeCell ref="B6:E6"/>
    <mergeCell ref="B60:E60"/>
    <mergeCell ref="B47:D47"/>
    <mergeCell ref="B12:D12"/>
    <mergeCell ref="C13:E13"/>
    <mergeCell ref="B40:D40"/>
    <mergeCell ref="B34:D34"/>
    <mergeCell ref="C15:E15"/>
    <mergeCell ref="B22:D22"/>
    <mergeCell ref="C23:E23"/>
    <mergeCell ref="C19:E19"/>
    <mergeCell ref="B20:D20"/>
    <mergeCell ref="C38:E38"/>
    <mergeCell ref="B24:D24"/>
    <mergeCell ref="C25:E25"/>
    <mergeCell ref="C21:E21"/>
    <mergeCell ref="B36:E36"/>
    <mergeCell ref="C57:D57"/>
    <mergeCell ref="B49:D49"/>
    <mergeCell ref="B42:D42"/>
    <mergeCell ref="B43:D43"/>
    <mergeCell ref="B44:D44"/>
    <mergeCell ref="B26:D26"/>
    <mergeCell ref="B9:E9"/>
    <mergeCell ref="A61:A64"/>
    <mergeCell ref="C61:E61"/>
    <mergeCell ref="A66:A68"/>
    <mergeCell ref="B8:D8"/>
    <mergeCell ref="C29:E29"/>
    <mergeCell ref="B30:D30"/>
    <mergeCell ref="C31:E31"/>
    <mergeCell ref="B32:D32"/>
    <mergeCell ref="C33:E33"/>
    <mergeCell ref="B16:D16"/>
    <mergeCell ref="C17:E17"/>
    <mergeCell ref="B58:D58"/>
    <mergeCell ref="B39:D39"/>
    <mergeCell ref="B53:D53"/>
    <mergeCell ref="B55:D55"/>
    <mergeCell ref="A46:A52"/>
    <mergeCell ref="F10:F15"/>
    <mergeCell ref="F16:F21"/>
    <mergeCell ref="F22:F27"/>
    <mergeCell ref="F28:F33"/>
    <mergeCell ref="C46:E46"/>
    <mergeCell ref="B37:E37"/>
    <mergeCell ref="B45:E45"/>
    <mergeCell ref="B41:D41"/>
    <mergeCell ref="C27:E27"/>
    <mergeCell ref="B18:D18"/>
    <mergeCell ref="B28:D28"/>
    <mergeCell ref="B10:D10"/>
    <mergeCell ref="C11:E11"/>
    <mergeCell ref="B14:D14"/>
    <mergeCell ref="B48:D48"/>
    <mergeCell ref="A38:A44"/>
    <mergeCell ref="B72:D72"/>
    <mergeCell ref="B62:D62"/>
    <mergeCell ref="B63:D63"/>
    <mergeCell ref="B64:D64"/>
    <mergeCell ref="B66:D66"/>
    <mergeCell ref="B67:D67"/>
    <mergeCell ref="B68:D68"/>
    <mergeCell ref="B70:D70"/>
    <mergeCell ref="B69:D69"/>
    <mergeCell ref="B71:D71"/>
    <mergeCell ref="C65:E65"/>
    <mergeCell ref="B50:D50"/>
    <mergeCell ref="B51:D51"/>
    <mergeCell ref="B52:D52"/>
    <mergeCell ref="C56:D56"/>
  </mergeCells>
  <printOptions horizontalCentered="1" verticalCentered="1"/>
  <pageMargins left="3.937007874015748E-2" right="3.937007874015748E-2" top="3.937007874015748E-2" bottom="3.937007874015748E-2" header="3.937007874015748E-2" footer="3.937007874015748E-2"/>
  <pageSetup paperSize="9" scale="1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D42F-9DFB-4A0E-89FA-DC2E53632A18}">
  <sheetPr codeName="Hoja8">
    <pageSetUpPr fitToPage="1"/>
  </sheetPr>
  <dimension ref="A1:I86"/>
  <sheetViews>
    <sheetView showGridLines="0" zoomScale="80" zoomScaleNormal="80" zoomScaleSheetLayoutView="40" zoomScalePageLayoutView="55" workbookViewId="0">
      <pane xSplit="1" topLeftCell="B1" activePane="topRight" state="frozen"/>
      <selection activeCell="A4" sqref="A4"/>
      <selection pane="topRight"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6384" width="11.42578125" style="11"/>
  </cols>
  <sheetData>
    <row r="1" spans="1:9" ht="88.5" customHeight="1" x14ac:dyDescent="0.25">
      <c r="B1" s="329"/>
    </row>
    <row r="2" spans="1:9" ht="30.75" customHeight="1" x14ac:dyDescent="0.55000000000000004">
      <c r="A2" s="360" t="s">
        <v>392</v>
      </c>
      <c r="B2" s="361"/>
      <c r="C2" s="361"/>
      <c r="D2" s="361"/>
      <c r="E2" s="48"/>
      <c r="F2" s="48"/>
      <c r="G2" s="48"/>
      <c r="H2" s="48"/>
      <c r="I2" s="269"/>
    </row>
    <row r="3" spans="1:9" s="9" customFormat="1" ht="13.5" customHeight="1" thickBot="1" x14ac:dyDescent="0.55000000000000004">
      <c r="A3" s="50"/>
      <c r="B3" s="50"/>
      <c r="C3" s="50"/>
      <c r="D3" s="50"/>
      <c r="E3" s="50"/>
      <c r="F3" s="50"/>
      <c r="G3" s="50"/>
      <c r="H3" s="50"/>
      <c r="I3" s="50"/>
    </row>
    <row r="4" spans="1:9"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9" ht="27" customHeight="1" x14ac:dyDescent="0.25">
      <c r="I5" s="186"/>
    </row>
    <row r="6" spans="1:9" ht="48.75" customHeight="1" thickBot="1" x14ac:dyDescent="0.45">
      <c r="A6" s="271" t="str">
        <f>IF(Equipamiento!B10="Campo rellenable de descripción del equipo","Campo automático",Equipamiento!B10)</f>
        <v>Campo automático</v>
      </c>
      <c r="E6" s="272"/>
      <c r="F6" s="272"/>
      <c r="G6" s="272"/>
      <c r="H6" s="272"/>
      <c r="I6" s="186"/>
    </row>
    <row r="7" spans="1:9" ht="48.75" customHeight="1" thickBot="1" x14ac:dyDescent="0.45">
      <c r="A7" s="222" t="s">
        <v>420</v>
      </c>
      <c r="B7" s="444" t="s">
        <v>342</v>
      </c>
      <c r="C7" s="445"/>
      <c r="D7" s="446"/>
      <c r="E7" s="272"/>
      <c r="F7" s="272"/>
      <c r="G7" s="272"/>
      <c r="H7" s="272"/>
      <c r="I7" s="186"/>
    </row>
    <row r="8" spans="1:9" ht="63.75" customHeight="1" thickBot="1" x14ac:dyDescent="0.3">
      <c r="A8" s="273" t="s">
        <v>347</v>
      </c>
      <c r="B8" s="480" t="s">
        <v>89</v>
      </c>
      <c r="C8" s="480"/>
      <c r="D8" s="481"/>
      <c r="F8" s="274"/>
      <c r="G8" s="274"/>
      <c r="H8" s="274"/>
      <c r="I8" s="274"/>
    </row>
    <row r="9" spans="1:9" ht="63.75" customHeight="1" thickBot="1" x14ac:dyDescent="0.3">
      <c r="A9" s="273" t="s">
        <v>365</v>
      </c>
      <c r="B9" s="511" t="s">
        <v>89</v>
      </c>
      <c r="C9" s="512"/>
      <c r="D9" s="513"/>
      <c r="E9" s="275"/>
      <c r="F9" s="276"/>
      <c r="G9" s="276"/>
      <c r="H9" s="276"/>
      <c r="I9" s="186"/>
    </row>
    <row r="10" spans="1:9" ht="63.75" customHeight="1" thickBot="1" x14ac:dyDescent="0.3">
      <c r="A10" s="277" t="s">
        <v>346</v>
      </c>
      <c r="B10" s="482" t="str">
        <f>IF(B8="(Campo desplegable)","Campo automático",VLOOKUP(B8,Referencias!A32:B33,2,FALSE))</f>
        <v>Campo automático</v>
      </c>
      <c r="C10" s="483"/>
      <c r="D10" s="484"/>
      <c r="F10" s="275"/>
      <c r="G10" s="276"/>
      <c r="H10" s="276"/>
      <c r="I10" s="186"/>
    </row>
    <row r="11" spans="1:9" ht="30" customHeight="1" x14ac:dyDescent="0.25">
      <c r="A11" s="485" t="s">
        <v>367</v>
      </c>
      <c r="B11" s="278" t="s">
        <v>2</v>
      </c>
      <c r="C11" s="279"/>
      <c r="D11" s="35">
        <v>1</v>
      </c>
      <c r="F11" s="237"/>
      <c r="G11" s="236"/>
      <c r="H11" s="95"/>
      <c r="I11" s="95"/>
    </row>
    <row r="12" spans="1:9" s="280" customFormat="1" ht="55.5" customHeight="1" x14ac:dyDescent="0.25">
      <c r="A12" s="411"/>
      <c r="B12" s="514" t="s">
        <v>393</v>
      </c>
      <c r="C12" s="470"/>
      <c r="D12" s="34">
        <v>0</v>
      </c>
      <c r="F12" s="281"/>
      <c r="G12" s="282"/>
      <c r="H12" s="282"/>
      <c r="I12" s="282"/>
    </row>
    <row r="13" spans="1:9" ht="42" customHeight="1" x14ac:dyDescent="0.25">
      <c r="A13" s="222" t="s">
        <v>28</v>
      </c>
      <c r="E13" s="186"/>
      <c r="F13" s="186"/>
      <c r="G13" s="186"/>
    </row>
    <row r="14" spans="1:9" ht="54.75" customHeight="1" x14ac:dyDescent="0.25">
      <c r="A14" s="234" t="s">
        <v>0</v>
      </c>
      <c r="B14" s="476" t="s">
        <v>335</v>
      </c>
      <c r="C14" s="476"/>
      <c r="D14" s="318" t="s">
        <v>89</v>
      </c>
      <c r="E14" s="186"/>
      <c r="F14" s="223" t="s">
        <v>291</v>
      </c>
      <c r="G14" s="223" t="s">
        <v>292</v>
      </c>
      <c r="H14" s="223" t="s">
        <v>293</v>
      </c>
      <c r="I14" s="223" t="s">
        <v>294</v>
      </c>
    </row>
    <row r="15" spans="1:9" ht="30" customHeight="1" x14ac:dyDescent="0.25">
      <c r="A15" s="224"/>
      <c r="B15" s="470" t="s">
        <v>394</v>
      </c>
      <c r="C15" s="471"/>
      <c r="D15" s="32">
        <v>0</v>
      </c>
      <c r="E15" s="186"/>
      <c r="F15" s="248" t="str">
        <f>IF($D14="Medida con un contador","X","")</f>
        <v/>
      </c>
      <c r="G15" s="248" t="str">
        <f>IF($D14="Estimada mediante facturas","X","")</f>
        <v/>
      </c>
      <c r="H15" s="248" t="s">
        <v>295</v>
      </c>
      <c r="I15" s="248"/>
    </row>
    <row r="16" spans="1:9"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408</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33</v>
      </c>
      <c r="B29" s="298"/>
      <c r="C29" s="298"/>
      <c r="D29" s="298"/>
      <c r="E29" s="186"/>
      <c r="F29" s="236"/>
      <c r="G29" s="236"/>
      <c r="H29" s="236"/>
      <c r="I29" s="286"/>
    </row>
    <row r="30" spans="1:9" ht="42" customHeight="1" thickBot="1" x14ac:dyDescent="0.3">
      <c r="A30" s="224" t="s">
        <v>4</v>
      </c>
      <c r="B30" s="495" t="s">
        <v>339</v>
      </c>
      <c r="C30" s="496"/>
      <c r="D30" s="39">
        <v>0</v>
      </c>
      <c r="E30" s="189"/>
      <c r="F30" s="236"/>
      <c r="G30" s="286"/>
      <c r="H30" s="95"/>
      <c r="I30" s="95"/>
    </row>
    <row r="31" spans="1:9" s="189" customFormat="1" ht="64.5" customHeight="1" thickBot="1" x14ac:dyDescent="0.3">
      <c r="A31" s="10" t="s">
        <v>407</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9" s="189" customFormat="1" ht="15.75" x14ac:dyDescent="0.25">
      <c r="A33" s="299" t="s">
        <v>34</v>
      </c>
      <c r="B33" s="300"/>
      <c r="C33" s="300"/>
      <c r="D33" s="298"/>
      <c r="F33" s="95"/>
      <c r="G33" s="236"/>
      <c r="H33" s="236"/>
      <c r="I33" s="236"/>
    </row>
    <row r="34" spans="1:9" ht="30" customHeight="1" x14ac:dyDescent="0.25">
      <c r="A34" s="301" t="s">
        <v>0</v>
      </c>
      <c r="B34" s="503" t="s">
        <v>340</v>
      </c>
      <c r="C34" s="503"/>
      <c r="D34" s="34">
        <v>0</v>
      </c>
      <c r="F34" s="248"/>
      <c r="G34" s="248" t="s">
        <v>295</v>
      </c>
      <c r="H34" s="248" t="s">
        <v>295</v>
      </c>
      <c r="I34" s="248"/>
    </row>
    <row r="35" spans="1:9" ht="31.5" customHeight="1" x14ac:dyDescent="0.25">
      <c r="A35" s="301" t="s">
        <v>3</v>
      </c>
      <c r="B35" s="501" t="s">
        <v>341</v>
      </c>
      <c r="C35" s="502"/>
      <c r="D35" s="39">
        <v>0</v>
      </c>
      <c r="F35" s="248"/>
      <c r="G35" s="248" t="s">
        <v>295</v>
      </c>
      <c r="H35" s="248" t="s">
        <v>295</v>
      </c>
      <c r="I35" s="248"/>
    </row>
    <row r="36" spans="1:9" ht="72" customHeight="1" x14ac:dyDescent="0.25">
      <c r="A36" s="302"/>
      <c r="B36" s="303" t="s">
        <v>52</v>
      </c>
      <c r="C36" s="472"/>
      <c r="D36" s="473"/>
      <c r="F36" s="95"/>
      <c r="G36" s="95"/>
      <c r="H36" s="95"/>
      <c r="I36" s="95"/>
    </row>
    <row r="37" spans="1:9" ht="30" customHeight="1" x14ac:dyDescent="0.25">
      <c r="A37" s="284" t="s">
        <v>66</v>
      </c>
      <c r="B37" s="498" t="s">
        <v>68</v>
      </c>
      <c r="C37" s="499"/>
      <c r="D37" s="500"/>
      <c r="F37" s="304"/>
      <c r="G37" s="95"/>
      <c r="H37" s="95"/>
      <c r="I37" s="95"/>
    </row>
    <row r="38" spans="1:9" ht="30" customHeight="1" x14ac:dyDescent="0.25">
      <c r="A38" s="284"/>
      <c r="B38" s="417" t="s">
        <v>406</v>
      </c>
      <c r="C38" s="417"/>
      <c r="D38" s="35">
        <v>1</v>
      </c>
      <c r="F38" s="304"/>
      <c r="G38" s="95"/>
      <c r="H38" s="95"/>
      <c r="I38" s="95"/>
    </row>
    <row r="39" spans="1:9" ht="30" customHeight="1" x14ac:dyDescent="0.25">
      <c r="A39" s="284"/>
      <c r="B39" s="497" t="s">
        <v>348</v>
      </c>
      <c r="C39" s="475"/>
      <c r="D39" s="39">
        <v>0</v>
      </c>
      <c r="F39" s="97"/>
      <c r="G39" s="95"/>
      <c r="H39" s="95"/>
      <c r="I39" s="95"/>
    </row>
    <row r="40" spans="1:9" s="9" customFormat="1" ht="50.25" hidden="1" customHeight="1" x14ac:dyDescent="0.25">
      <c r="A40" s="284"/>
      <c r="B40" s="489" t="s">
        <v>366</v>
      </c>
      <c r="C40" s="490"/>
      <c r="D40" s="305">
        <f>IF(OR(B9="SÍ",B9="(Campo desplegable)"),0,(D23/B10)*(D39/D11))</f>
        <v>0</v>
      </c>
    </row>
    <row r="41" spans="1:9" s="9" customFormat="1" ht="50.25" customHeight="1" thickBot="1" x14ac:dyDescent="0.3">
      <c r="A41" s="284"/>
      <c r="B41" s="510" t="s">
        <v>417</v>
      </c>
      <c r="C41" s="510"/>
      <c r="D41" s="305">
        <f>D40/D38</f>
        <v>0</v>
      </c>
      <c r="F41" s="248"/>
      <c r="G41" s="248" t="s">
        <v>295</v>
      </c>
      <c r="H41" s="248"/>
      <c r="I41" s="248" t="s">
        <v>295</v>
      </c>
    </row>
    <row r="42" spans="1:9" s="9" customFormat="1" ht="66.75" customHeight="1" thickBot="1" x14ac:dyDescent="0.3">
      <c r="A42" s="306" t="s">
        <v>409</v>
      </c>
      <c r="B42" s="491" t="s">
        <v>69</v>
      </c>
      <c r="C42" s="492"/>
      <c r="D42" s="293">
        <f>SUM(D34,D35,D41)</f>
        <v>0</v>
      </c>
      <c r="F42" s="294">
        <f>SUMIF(F34:F41,"X",$D$34:$D$41)</f>
        <v>0</v>
      </c>
      <c r="G42" s="294">
        <f>SUMIF(G34:G41,"X",$D$34:$D$41)</f>
        <v>0</v>
      </c>
      <c r="H42" s="294">
        <f>SUMIF(H34:H41,"X",$D$34:$D$41)</f>
        <v>0</v>
      </c>
      <c r="I42" s="294">
        <f>SUMIF(I34:I41,"X",$D$34:$D$41)</f>
        <v>0</v>
      </c>
    </row>
    <row r="43" spans="1:9" ht="15.75" x14ac:dyDescent="0.25">
      <c r="A43" s="297"/>
      <c r="B43" s="298"/>
      <c r="C43" s="298"/>
      <c r="D43" s="298"/>
      <c r="F43" s="236"/>
      <c r="G43" s="236"/>
      <c r="H43" s="236"/>
      <c r="I43" s="95"/>
    </row>
    <row r="44" spans="1:9" ht="20.25" customHeight="1" x14ac:dyDescent="0.25">
      <c r="A44" s="299" t="s">
        <v>35</v>
      </c>
      <c r="B44" s="298"/>
      <c r="C44" s="298"/>
      <c r="D44" s="298"/>
      <c r="F44" s="95"/>
      <c r="G44" s="95"/>
      <c r="H44" s="95"/>
      <c r="I44" s="95"/>
    </row>
    <row r="45" spans="1:9" ht="30" customHeight="1" x14ac:dyDescent="0.25">
      <c r="A45" s="307" t="s">
        <v>0</v>
      </c>
      <c r="B45" s="503" t="s">
        <v>350</v>
      </c>
      <c r="C45" s="503"/>
      <c r="D45" s="34">
        <v>0</v>
      </c>
      <c r="F45" s="248"/>
      <c r="G45" s="248" t="s">
        <v>295</v>
      </c>
      <c r="H45" s="248" t="s">
        <v>295</v>
      </c>
      <c r="I45" s="248"/>
    </row>
    <row r="46" spans="1:9" ht="30" customHeight="1" x14ac:dyDescent="0.25">
      <c r="A46" s="301" t="s">
        <v>3</v>
      </c>
      <c r="B46" s="501" t="s">
        <v>351</v>
      </c>
      <c r="C46" s="502"/>
      <c r="D46" s="34">
        <v>0</v>
      </c>
      <c r="F46" s="248"/>
      <c r="G46" s="248" t="s">
        <v>295</v>
      </c>
      <c r="H46" s="248" t="s">
        <v>295</v>
      </c>
      <c r="I46" s="248"/>
    </row>
    <row r="47" spans="1:9" ht="70.5" customHeight="1" x14ac:dyDescent="0.25">
      <c r="A47" s="302"/>
      <c r="B47" s="303" t="s">
        <v>52</v>
      </c>
      <c r="C47" s="472"/>
      <c r="D47" s="473"/>
      <c r="F47" s="95"/>
      <c r="G47" s="95"/>
      <c r="H47" s="95"/>
      <c r="I47" s="95"/>
    </row>
    <row r="48" spans="1:9" ht="30" customHeight="1" x14ac:dyDescent="0.25">
      <c r="A48" s="284" t="s">
        <v>66</v>
      </c>
      <c r="B48" s="498" t="s">
        <v>68</v>
      </c>
      <c r="C48" s="499"/>
      <c r="D48" s="500"/>
      <c r="F48" s="304"/>
      <c r="G48" s="95"/>
      <c r="H48" s="95"/>
      <c r="I48" s="95"/>
    </row>
    <row r="49" spans="1:9" ht="30" customHeight="1" x14ac:dyDescent="0.25">
      <c r="A49" s="284"/>
      <c r="B49" s="417" t="s">
        <v>410</v>
      </c>
      <c r="C49" s="417"/>
      <c r="D49" s="35">
        <v>1</v>
      </c>
      <c r="F49" s="304"/>
      <c r="G49" s="95"/>
      <c r="H49" s="95"/>
      <c r="I49" s="95"/>
    </row>
    <row r="50" spans="1:9" ht="30" customHeight="1" x14ac:dyDescent="0.25">
      <c r="A50" s="284"/>
      <c r="B50" s="497" t="s">
        <v>349</v>
      </c>
      <c r="C50" s="475"/>
      <c r="D50" s="39">
        <v>0</v>
      </c>
      <c r="F50" s="308"/>
      <c r="G50" s="95"/>
      <c r="H50" s="95"/>
      <c r="I50" s="95"/>
    </row>
    <row r="51" spans="1:9" ht="53.25" hidden="1" customHeight="1" x14ac:dyDescent="0.25">
      <c r="A51" s="284"/>
      <c r="B51" s="508" t="s">
        <v>366</v>
      </c>
      <c r="C51" s="475"/>
      <c r="D51" s="309">
        <f>IF(OR(B9="SÍ",B9="(Campo desplegable)"),0,(D23/B10)*(D50/D11))</f>
        <v>0</v>
      </c>
    </row>
    <row r="52" spans="1:9" ht="53.25" customHeight="1" thickBot="1" x14ac:dyDescent="0.3">
      <c r="A52" s="284"/>
      <c r="B52" s="506" t="s">
        <v>411</v>
      </c>
      <c r="C52" s="507"/>
      <c r="D52" s="310">
        <f>D51/D49</f>
        <v>0</v>
      </c>
      <c r="F52" s="248"/>
      <c r="G52" s="248" t="s">
        <v>295</v>
      </c>
      <c r="H52" s="248"/>
      <c r="I52" s="248" t="s">
        <v>295</v>
      </c>
    </row>
    <row r="53" spans="1:9" ht="108.75" customHeight="1" thickBot="1" x14ac:dyDescent="0.3">
      <c r="A53" s="311" t="s">
        <v>412</v>
      </c>
      <c r="B53" s="509" t="s">
        <v>69</v>
      </c>
      <c r="C53" s="491"/>
      <c r="D53" s="293">
        <f>SUM(D45,D46,D52)</f>
        <v>0</v>
      </c>
      <c r="F53" s="294">
        <f>SUMIF(F45:F52,"X",$D$45:$D$52)</f>
        <v>0</v>
      </c>
      <c r="G53" s="294">
        <f>SUMIF(G45:G52,"X",$D$45:$D$52)</f>
        <v>0</v>
      </c>
      <c r="H53" s="294">
        <f>SUMIF(H45:H52,"X",$D$45:$D$52)</f>
        <v>0</v>
      </c>
      <c r="I53" s="294">
        <f>SUMIF(I45:I52,"X",$D$45:$D$52)</f>
        <v>0</v>
      </c>
    </row>
    <row r="54" spans="1:9" s="9" customFormat="1" ht="69" customHeight="1" thickBot="1" x14ac:dyDescent="0.3">
      <c r="A54" s="312"/>
      <c r="B54" s="313"/>
      <c r="C54" s="313"/>
      <c r="D54" s="314"/>
      <c r="F54" s="97"/>
      <c r="G54" s="97"/>
      <c r="H54" s="97"/>
      <c r="I54" s="97"/>
    </row>
    <row r="55" spans="1:9" ht="46.5" customHeight="1" thickBot="1" x14ac:dyDescent="0.3">
      <c r="B55" s="424" t="s">
        <v>413</v>
      </c>
      <c r="C55" s="426"/>
      <c r="D55" s="315" t="s">
        <v>25</v>
      </c>
      <c r="F55" s="223" t="s">
        <v>296</v>
      </c>
      <c r="G55" s="223" t="s">
        <v>297</v>
      </c>
      <c r="H55" s="223" t="s">
        <v>298</v>
      </c>
      <c r="I55" s="223" t="s">
        <v>299</v>
      </c>
    </row>
    <row r="56" spans="1:9" ht="60.75" customHeight="1" thickBot="1" x14ac:dyDescent="0.3">
      <c r="A56" s="316" t="s">
        <v>88</v>
      </c>
      <c r="B56" s="486" t="s">
        <v>414</v>
      </c>
      <c r="C56" s="487"/>
      <c r="D56" s="317">
        <f>SUM(D27,D31,D42,D53)</f>
        <v>0</v>
      </c>
      <c r="F56" s="230">
        <f>SUMIF(F15:F52,"X",$D$15:$D$52)</f>
        <v>0</v>
      </c>
      <c r="G56" s="230">
        <f>SUMIF(G15:G52,"X",$D$15:$D$52)</f>
        <v>0</v>
      </c>
      <c r="H56" s="230">
        <f>SUMIF(H15:H52,"X",$D$15:$D$52)</f>
        <v>0</v>
      </c>
      <c r="I56" s="230">
        <f>SUMIF(I15:I52,"X",$D$15:$D$52)</f>
        <v>0</v>
      </c>
    </row>
    <row r="57" spans="1:9" ht="30.75" customHeight="1" x14ac:dyDescent="0.25">
      <c r="F57" s="95"/>
      <c r="G57" s="95"/>
      <c r="H57" s="95"/>
      <c r="I57" s="95"/>
    </row>
    <row r="58" spans="1:9" x14ac:dyDescent="0.25">
      <c r="F58" s="95"/>
      <c r="G58" s="95"/>
      <c r="H58" s="95"/>
      <c r="I58" s="95"/>
    </row>
    <row r="59" spans="1:9" x14ac:dyDescent="0.25">
      <c r="F59" s="95"/>
      <c r="G59" s="95"/>
      <c r="H59" s="95"/>
      <c r="I59" s="95"/>
    </row>
    <row r="60" spans="1:9" x14ac:dyDescent="0.25">
      <c r="F60" s="95"/>
      <c r="G60" s="95"/>
      <c r="H60" s="95"/>
      <c r="I60" s="95"/>
    </row>
    <row r="61" spans="1:9" x14ac:dyDescent="0.25">
      <c r="F61" s="95"/>
      <c r="G61" s="95"/>
      <c r="H61" s="95"/>
      <c r="I61" s="95"/>
    </row>
    <row r="62" spans="1:9" x14ac:dyDescent="0.25">
      <c r="F62" s="95"/>
      <c r="G62" s="95"/>
      <c r="H62" s="95"/>
      <c r="I62" s="95"/>
    </row>
    <row r="63" spans="1:9" x14ac:dyDescent="0.25">
      <c r="F63" s="95"/>
      <c r="G63" s="95"/>
      <c r="H63" s="95"/>
      <c r="I63" s="95"/>
    </row>
    <row r="64" spans="1:9"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sheetData>
  <sheetProtection algorithmName="SHA-512" hashValue="rwnxuMKDLu2nBUjarxUsX33LQWMuKEkDCdHysnUsGr2pyvsBAJBNv+rqoueSNuvqKoz2q/Jr8ykFXmZ3pTPDhQ==" saltValue="gKWIgiBCnv5E6WnWjQrA/A==" spinCount="100000" sheet="1" objects="1" scenarios="1"/>
  <mergeCells count="44">
    <mergeCell ref="B41:C41"/>
    <mergeCell ref="B9:D9"/>
    <mergeCell ref="B12:C12"/>
    <mergeCell ref="B26:C26"/>
    <mergeCell ref="B18:C18"/>
    <mergeCell ref="C19:D19"/>
    <mergeCell ref="B22:C22"/>
    <mergeCell ref="C36:D36"/>
    <mergeCell ref="B55:C55"/>
    <mergeCell ref="B51:C51"/>
    <mergeCell ref="B53:C53"/>
    <mergeCell ref="B45:C45"/>
    <mergeCell ref="B46:C46"/>
    <mergeCell ref="C47:D47"/>
    <mergeCell ref="B56:C56"/>
    <mergeCell ref="B16:C16"/>
    <mergeCell ref="B40:C40"/>
    <mergeCell ref="B42:C42"/>
    <mergeCell ref="B31:C31"/>
    <mergeCell ref="B30:C30"/>
    <mergeCell ref="B38:C38"/>
    <mergeCell ref="B39:C39"/>
    <mergeCell ref="B37:D37"/>
    <mergeCell ref="B35:C35"/>
    <mergeCell ref="B34:C34"/>
    <mergeCell ref="B48:D48"/>
    <mergeCell ref="B50:C50"/>
    <mergeCell ref="B49:C49"/>
    <mergeCell ref="B27:C27"/>
    <mergeCell ref="B52:C52"/>
    <mergeCell ref="A2:D2"/>
    <mergeCell ref="B23:C23"/>
    <mergeCell ref="B25:C25"/>
    <mergeCell ref="B24:C24"/>
    <mergeCell ref="B15:C15"/>
    <mergeCell ref="C21:D21"/>
    <mergeCell ref="C17:D17"/>
    <mergeCell ref="B20:C20"/>
    <mergeCell ref="B14:C14"/>
    <mergeCell ref="B4:D4"/>
    <mergeCell ref="B8:D8"/>
    <mergeCell ref="B10:D10"/>
    <mergeCell ref="B7:D7"/>
    <mergeCell ref="A11:A12"/>
  </mergeCells>
  <dataValidations count="2">
    <dataValidation type="list" allowBlank="1" showInputMessage="1" showErrorMessage="1" sqref="D14" xr:uid="{3BFEC902-51E0-4F87-A0A8-6B8E66D3C920}">
      <formula1>"(Campo desplegable),Medida con un contador,Estimada mediante facturas"</formula1>
    </dataValidation>
    <dataValidation type="list" allowBlank="1" showInputMessage="1" showErrorMessage="1" sqref="B9:D9" xr:uid="{6A0AAE8E-162B-4D18-A0F2-36B51687293C}">
      <formula1>"(Campo desplegable),SÍ,NO"</formula1>
    </dataValidation>
  </dataValidations>
  <hyperlinks>
    <hyperlink ref="A56" location="Equipamiento!A1" display="VOLVER A EQUIPAMIENTO" xr:uid="{9DBC5280-0E2D-4D60-AD28-25C60F47C95F}"/>
  </hyperlinks>
  <printOptions horizontalCentered="1" verticalCentered="1"/>
  <pageMargins left="7.874015748031496E-2" right="7.874015748031496E-2" top="3.937007874015748E-2" bottom="3.937007874015748E-2" header="3.937007874015748E-2" footer="3.937007874015748E-2"/>
  <pageSetup paperSize="9" scale="33"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4" id="{EC0C25B3-9BA8-4248-BA9D-2D09ABE0F7FA}">
            <xm:f>Equipamiento!$B$7&lt;2</xm:f>
            <x14:dxf>
              <font>
                <b/>
                <i val="0"/>
                <strike val="0"/>
                <color theme="0"/>
              </font>
              <fill>
                <patternFill>
                  <fgColor auto="1"/>
                  <bgColor theme="0"/>
                </patternFill>
              </fill>
              <border>
                <left/>
                <right/>
                <top/>
                <bottom/>
                <vertical/>
                <horizontal/>
              </border>
            </x14:dxf>
          </x14:cfRule>
          <xm:sqref>A13</xm:sqref>
        </x14:conditionalFormatting>
        <x14:conditionalFormatting xmlns:xm="http://schemas.microsoft.com/office/excel/2006/main">
          <x14:cfRule type="expression" priority="1" id="{E6D32448-6B8D-4661-87D6-7FCAA848F5CA}">
            <xm:f>Equipamiento!$B$7&lt;2</xm:f>
            <x14:dxf>
              <font>
                <b/>
                <i val="0"/>
                <strike val="0"/>
                <color theme="0"/>
              </font>
              <fill>
                <patternFill>
                  <fgColor auto="1"/>
                  <bgColor theme="0"/>
                </patternFill>
              </fill>
              <border>
                <left/>
                <right/>
                <top/>
                <bottom/>
                <vertical/>
                <horizontal/>
              </border>
            </x14:dxf>
          </x14:cfRule>
          <xm:sqref>A7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58C18F0-3119-4D5F-A39E-65DC6156B01E}">
          <x14:formula1>
            <xm:f>Referencias!$A$31:$A$33</xm:f>
          </x14:formula1>
          <xm:sqref>B8:D8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7B8D-3063-46AD-99C3-806572201548}">
  <sheetPr codeName="Hoja9"/>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430</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IF(Equipamiento!B11="Campo rellenable de descripción del equipo","Campo automático",Equipamiento!B11)</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422</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90</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426</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91</v>
      </c>
      <c r="B29" s="298"/>
      <c r="C29" s="298"/>
      <c r="D29" s="298"/>
      <c r="E29" s="186"/>
      <c r="F29" s="236"/>
      <c r="G29" s="236"/>
      <c r="H29" s="236"/>
      <c r="I29" s="286"/>
    </row>
    <row r="30" spans="1:9" ht="42" customHeight="1" thickBot="1" x14ac:dyDescent="0.3">
      <c r="A30" s="224" t="s">
        <v>423</v>
      </c>
      <c r="B30" s="495" t="s">
        <v>339</v>
      </c>
      <c r="C30" s="496"/>
      <c r="D30" s="39">
        <v>0</v>
      </c>
      <c r="E30" s="189"/>
      <c r="F30" s="236"/>
      <c r="G30" s="286"/>
      <c r="H30" s="95"/>
      <c r="I30" s="95"/>
    </row>
    <row r="31" spans="1:9" s="189" customFormat="1" ht="64.5" customHeight="1" thickBot="1" x14ac:dyDescent="0.3">
      <c r="A31" s="10" t="s">
        <v>424</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92</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427</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93</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428</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429</v>
      </c>
      <c r="C55" s="426"/>
      <c r="D55" s="315" t="s">
        <v>25</v>
      </c>
      <c r="E55" s="324"/>
      <c r="F55" s="223" t="s">
        <v>296</v>
      </c>
      <c r="G55" s="223" t="s">
        <v>297</v>
      </c>
      <c r="H55" s="223" t="s">
        <v>298</v>
      </c>
      <c r="I55" s="223" t="s">
        <v>299</v>
      </c>
    </row>
    <row r="56" spans="1:10" ht="60.75" customHeight="1" thickBot="1" x14ac:dyDescent="0.3">
      <c r="A56" s="316" t="s">
        <v>88</v>
      </c>
      <c r="B56" s="486" t="s">
        <v>425</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cwaW3NNdJJfQXfWdP+MSB6svxeLbwfCOpxRo5pqfmW4MkxmngZnorc1er81YikHgzU92cG+bplso21qVmXNJTQ==" saltValue="7bWT6szzSyXkANva8yj2vg=="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76800A15-D301-4A19-9A23-E82C1DED73F2}">
      <formula1>"(Campo desplegable),Medida con un contador,Estimada mediante facturas"</formula1>
    </dataValidation>
    <dataValidation type="list" allowBlank="1" showInputMessage="1" showErrorMessage="1" sqref="B9:D9" xr:uid="{3CE007F9-9ADB-40E6-810A-8A8B20A29D82}">
      <formula1>"(Campo desplegable),SÍ,NO"</formula1>
    </dataValidation>
  </dataValidations>
  <hyperlinks>
    <hyperlink ref="A56" location="Equipamiento!A1" display="VOLVER A EQUIPAMIENTO" xr:uid="{CB27C36C-1662-400D-9519-8DC4157EF7C4}"/>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0C259B0F-6603-4B79-BE01-B376B9765F30}">
            <xm:f>OR(Equipamiento!$B$7&lt;2,Equipamiento!$B$7="(Campo desplegable)")</xm:f>
            <x14:dxf>
              <font>
                <color theme="0"/>
              </font>
              <fill>
                <patternFill>
                  <bgColor theme="0"/>
                </patternFill>
              </fill>
              <border>
                <left/>
                <right/>
                <top/>
                <bottom/>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EBA8588-DB94-4F8C-B1C3-1121E25828B3}">
          <x14:formula1>
            <xm:f>Referencias!$A$31:$A$33</xm:f>
          </x14:formula1>
          <xm:sqref>B8:D8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8A54D-0CFB-4774-B009-047D7FE3C5DD}">
  <sheetPr codeName="Hoja10"/>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431</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IF(Equipamiento!B12="Campo rellenable de descripción del equipo","Campo automático",Equipamiento!B12)</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437</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94</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432</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95</v>
      </c>
      <c r="B29" s="298"/>
      <c r="C29" s="298"/>
      <c r="D29" s="298"/>
      <c r="E29" s="186"/>
      <c r="F29" s="236"/>
      <c r="G29" s="236"/>
      <c r="H29" s="236"/>
      <c r="I29" s="286"/>
    </row>
    <row r="30" spans="1:9" ht="42" customHeight="1" thickBot="1" x14ac:dyDescent="0.3">
      <c r="A30" s="224" t="s">
        <v>438</v>
      </c>
      <c r="B30" s="495" t="s">
        <v>339</v>
      </c>
      <c r="C30" s="496"/>
      <c r="D30" s="39">
        <v>0</v>
      </c>
      <c r="E30" s="189"/>
      <c r="F30" s="236"/>
      <c r="G30" s="286"/>
      <c r="H30" s="95"/>
      <c r="I30" s="95"/>
    </row>
    <row r="31" spans="1:9" s="189" customFormat="1" ht="64.5" customHeight="1" thickBot="1" x14ac:dyDescent="0.3">
      <c r="A31" s="10" t="s">
        <v>433</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96</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434</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97</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435</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436</v>
      </c>
      <c r="C55" s="426"/>
      <c r="D55" s="315" t="s">
        <v>25</v>
      </c>
      <c r="E55" s="324"/>
      <c r="F55" s="223" t="s">
        <v>296</v>
      </c>
      <c r="G55" s="223" t="s">
        <v>297</v>
      </c>
      <c r="H55" s="223" t="s">
        <v>298</v>
      </c>
      <c r="I55" s="223" t="s">
        <v>299</v>
      </c>
    </row>
    <row r="56" spans="1:10" ht="60.75" customHeight="1" thickBot="1" x14ac:dyDescent="0.3">
      <c r="A56" s="316" t="s">
        <v>88</v>
      </c>
      <c r="B56" s="486" t="s">
        <v>439</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r15GU97SzeHN8+s21gIxcDgeKwjy3H0G8YaWZHu3kHMNZ6YakaURV5u0LPJtipkZXd5gtljhdXwCoXAQqRNjDQ==" saltValue="r5MghDfenLTsK4TcKSsK6A==" spinCount="100000" sheet="1" objects="1" scenarios="1"/>
  <mergeCells count="44">
    <mergeCell ref="C36:D36"/>
    <mergeCell ref="C47:D47"/>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28613DE2-515B-472F-8CD6-F6D5AF03681E}">
      <formula1>"(Campo desplegable),Medida con un contador,Estimada mediante facturas"</formula1>
    </dataValidation>
    <dataValidation type="list" allowBlank="1" showInputMessage="1" showErrorMessage="1" sqref="B9:D9" xr:uid="{01620396-7A57-412A-BEB4-07C1E8352487}">
      <formula1>"(Campo desplegable),SÍ,NO"</formula1>
    </dataValidation>
  </dataValidations>
  <hyperlinks>
    <hyperlink ref="A56" location="Equipamiento!A1" display="VOLVER A EQUIPAMIENTO" xr:uid="{56B0CE48-44D4-4D57-ABA4-61A3999161A9}"/>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14A64C8A-B057-41EC-BF37-50C52C0A3CAD}">
            <xm:f>OR(Equipamiento!$B$7&lt;3,Equipamiento!$B$7="(Campo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6A3D670-06BF-4084-83F0-DD98B6298544}">
          <x14:formula1>
            <xm:f>Referencias!$A$31:$A$33</xm:f>
          </x14:formula1>
          <xm:sqref>B8:D8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1D69-E5DB-4B60-9E99-7A9BCD57B194}">
  <sheetPr codeName="Hoja11"/>
  <dimension ref="A1:M113"/>
  <sheetViews>
    <sheetView showGridLines="0" zoomScale="80" zoomScaleNormal="80" zoomScaleSheetLayoutView="70" zoomScalePageLayoutView="55" workbookViewId="0">
      <selection activeCell="B10" sqref="B10:D10"/>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440</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IF(Equipamiento!B13="Campo rellenable de descripción del equipo","Campo automático",Equipamiento!B13)</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446</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98</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441</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99</v>
      </c>
      <c r="B29" s="298"/>
      <c r="C29" s="298"/>
      <c r="D29" s="298"/>
      <c r="E29" s="186"/>
      <c r="F29" s="236"/>
      <c r="G29" s="236"/>
      <c r="H29" s="236"/>
      <c r="I29" s="286"/>
    </row>
    <row r="30" spans="1:9" ht="42" customHeight="1" thickBot="1" x14ac:dyDescent="0.3">
      <c r="A30" s="224" t="s">
        <v>447</v>
      </c>
      <c r="B30" s="495" t="s">
        <v>339</v>
      </c>
      <c r="C30" s="496"/>
      <c r="D30" s="39">
        <v>0</v>
      </c>
      <c r="E30" s="189"/>
      <c r="F30" s="236"/>
      <c r="G30" s="286"/>
      <c r="H30" s="95"/>
      <c r="I30" s="95"/>
    </row>
    <row r="31" spans="1:9" s="189" customFormat="1" ht="64.5" customHeight="1" thickBot="1" x14ac:dyDescent="0.3">
      <c r="A31" s="10" t="s">
        <v>442</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100</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443</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101</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444</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445</v>
      </c>
      <c r="C55" s="426"/>
      <c r="D55" s="315" t="s">
        <v>25</v>
      </c>
      <c r="E55" s="324"/>
      <c r="F55" s="223" t="s">
        <v>296</v>
      </c>
      <c r="G55" s="223" t="s">
        <v>297</v>
      </c>
      <c r="H55" s="223" t="s">
        <v>298</v>
      </c>
      <c r="I55" s="223" t="s">
        <v>299</v>
      </c>
    </row>
    <row r="56" spans="1:10" ht="60.75" customHeight="1" thickBot="1" x14ac:dyDescent="0.3">
      <c r="A56" s="316" t="s">
        <v>88</v>
      </c>
      <c r="B56" s="486" t="s">
        <v>448</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Av/D8SA4Y0cYMjLuwzfExE1t5QlO396y1xlhhop62qPuBjvn7q1bQXRZvrt2TcNqVLPu3speFzAJqVJOioehsA==" saltValue="ZBAw0ZkzZ7LcoseC4Cr4Eg=="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2E647762-9801-429B-BD03-B8E3E1EBA493}">
      <formula1>"(Campo desplegable),Medida con un contador,Estimada mediante facturas"</formula1>
    </dataValidation>
    <dataValidation type="list" allowBlank="1" showInputMessage="1" showErrorMessage="1" sqref="B9:D9" xr:uid="{F9C4DF3B-0CDB-48A2-B400-2D0D9B72D7FC}">
      <formula1>"(Campo desplegable),SÍ,NO"</formula1>
    </dataValidation>
  </dataValidations>
  <hyperlinks>
    <hyperlink ref="A56" location="Equipamiento!A1" display="VOLVER A EQUIPAMIENTO" xr:uid="{6712C79B-A63B-44D7-B29B-47264AA4E3D0}"/>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6F1E1FC1-39A6-4A99-AE05-CE0D7FE03CAC}">
            <xm:f>OR(Equipamiento!$B$7&lt;4,Equipamiento!$B$7="(Campo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0847BE8-D182-40B1-A402-ABA4CAA41512}">
          <x14:formula1>
            <xm:f>Referencias!$A$31:$A$33</xm:f>
          </x14:formula1>
          <xm:sqref>B8:D8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84972-672B-4297-9638-18DA1942AFA3}">
  <sheetPr codeName="Hoja12"/>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449</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IF(Equipamiento!B14="Campo rellenable de descripción del equipo","Campo automático",Equipamiento!B14)</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455</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102</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450</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103</v>
      </c>
      <c r="B29" s="298"/>
      <c r="C29" s="298"/>
      <c r="D29" s="298"/>
      <c r="E29" s="186"/>
      <c r="F29" s="236"/>
      <c r="G29" s="236"/>
      <c r="H29" s="236"/>
      <c r="I29" s="286"/>
    </row>
    <row r="30" spans="1:9" ht="42" customHeight="1" thickBot="1" x14ac:dyDescent="0.3">
      <c r="A30" s="224" t="s">
        <v>456</v>
      </c>
      <c r="B30" s="495" t="s">
        <v>339</v>
      </c>
      <c r="C30" s="496"/>
      <c r="D30" s="39">
        <v>0</v>
      </c>
      <c r="E30" s="189"/>
      <c r="F30" s="236"/>
      <c r="G30" s="286"/>
      <c r="H30" s="95"/>
      <c r="I30" s="95"/>
    </row>
    <row r="31" spans="1:9" s="189" customFormat="1" ht="64.5" customHeight="1" thickBot="1" x14ac:dyDescent="0.3">
      <c r="A31" s="10" t="s">
        <v>451</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104</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452</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105</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453</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454</v>
      </c>
      <c r="C55" s="426"/>
      <c r="D55" s="315" t="s">
        <v>25</v>
      </c>
      <c r="E55" s="324"/>
      <c r="F55" s="223" t="s">
        <v>296</v>
      </c>
      <c r="G55" s="223" t="s">
        <v>297</v>
      </c>
      <c r="H55" s="223" t="s">
        <v>298</v>
      </c>
      <c r="I55" s="223" t="s">
        <v>299</v>
      </c>
    </row>
    <row r="56" spans="1:10" ht="60.75" customHeight="1" thickBot="1" x14ac:dyDescent="0.3">
      <c r="A56" s="316" t="s">
        <v>88</v>
      </c>
      <c r="B56" s="486" t="s">
        <v>457</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4QhD62jq1tOfSDfusOdql9JwDsLBREHIKdrZ684gHkqYJFiRf4s889E7kJtOvH9Py0QOoyVHe5NpKjT1PvRiDQ==" saltValue="DrwzPIalpNr4VDr72HQjcA==" spinCount="100000" sheet="1" objects="1" scenarios="1"/>
  <mergeCells count="44">
    <mergeCell ref="C36:D36"/>
    <mergeCell ref="C47:D47"/>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E07F822C-573E-4535-A403-74AD13155F92}">
      <formula1>"(Campo desplegable),Medida con un contador,Estimada mediante facturas"</formula1>
    </dataValidation>
    <dataValidation type="list" allowBlank="1" showInputMessage="1" showErrorMessage="1" sqref="B9:D9" xr:uid="{3C5BE632-2B15-4F86-93D1-079F4A668D4C}">
      <formula1>"(Campo desplegable),SÍ,NO"</formula1>
    </dataValidation>
  </dataValidations>
  <hyperlinks>
    <hyperlink ref="A56" location="Equipamiento!A1" display="VOLVER A EQUIPAMIENTO" xr:uid="{953EF326-DA63-48D3-ACC2-9D8A6DCF5425}"/>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3F71D3BF-5732-4A2C-BB73-B695EE7657A2}">
            <xm:f>OR(Equipamiento!$B$7&lt;5,Equipamiento!$B$7="(Campo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2CD04C3-8E82-43A1-946B-1E68483D1BBF}">
          <x14:formula1>
            <xm:f>Referencias!$A$31:$A$33</xm:f>
          </x14:formula1>
          <xm:sqref>B8:D8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1828-43F6-4FFC-A3BF-DE40DF565B6D}">
  <sheetPr codeName="Hoja13"/>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458</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IF(Equipamiento!B15="Campo rellenable de descripción del equipo","Campo automático",Equipamiento!B15)</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464</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106</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459</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107</v>
      </c>
      <c r="B29" s="298"/>
      <c r="C29" s="298"/>
      <c r="D29" s="298"/>
      <c r="E29" s="186"/>
      <c r="F29" s="236"/>
      <c r="G29" s="236"/>
      <c r="H29" s="236"/>
      <c r="I29" s="286"/>
    </row>
    <row r="30" spans="1:9" ht="42" customHeight="1" thickBot="1" x14ac:dyDescent="0.3">
      <c r="A30" s="224" t="s">
        <v>466</v>
      </c>
      <c r="B30" s="495" t="s">
        <v>339</v>
      </c>
      <c r="C30" s="496"/>
      <c r="D30" s="39">
        <v>0</v>
      </c>
      <c r="E30" s="189"/>
      <c r="F30" s="236"/>
      <c r="G30" s="286"/>
      <c r="H30" s="95"/>
      <c r="I30" s="95"/>
    </row>
    <row r="31" spans="1:9" s="189" customFormat="1" ht="64.5" customHeight="1" thickBot="1" x14ac:dyDescent="0.3">
      <c r="A31" s="10" t="s">
        <v>460</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108</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461</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109</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462</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463</v>
      </c>
      <c r="C55" s="426"/>
      <c r="D55" s="315" t="s">
        <v>25</v>
      </c>
      <c r="E55" s="324"/>
      <c r="F55" s="223" t="s">
        <v>296</v>
      </c>
      <c r="G55" s="223" t="s">
        <v>297</v>
      </c>
      <c r="H55" s="223" t="s">
        <v>298</v>
      </c>
      <c r="I55" s="223" t="s">
        <v>299</v>
      </c>
    </row>
    <row r="56" spans="1:10" ht="60.75" customHeight="1" thickBot="1" x14ac:dyDescent="0.3">
      <c r="A56" s="316" t="s">
        <v>88</v>
      </c>
      <c r="B56" s="486" t="s">
        <v>465</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9pEKDkxd021ZOfhwwjkO0HyhoE+JKDppJqfSyp3B+RlHCPJG2zzMx3b3Jkit4n7Uj6gLehWeJbSoYqUdK8k27w==" saltValue="eeA1fr/Plp8w5KrQnbliUQ=="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639CEEE4-CF8C-47AB-AC62-7B51048DBE06}">
      <formula1>"(Campo desplegable),Medida con un contador,Estimada mediante facturas"</formula1>
    </dataValidation>
    <dataValidation type="list" allowBlank="1" showInputMessage="1" showErrorMessage="1" sqref="B9:D9" xr:uid="{72CFB067-F15C-4F47-A548-0B6D71AB3ABD}">
      <formula1>"(Campo desplegable),SÍ,NO"</formula1>
    </dataValidation>
  </dataValidations>
  <hyperlinks>
    <hyperlink ref="A56" location="Equipamiento!A1" display="VOLVER A EQUIPAMIENTO" xr:uid="{0B32D26C-8EC2-4D8E-9A50-7B0B6FDF48F8}"/>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06C19514-C6BF-4240-92D1-1353D095C8C1}">
            <xm:f>OR(Equipamiento!$B$7&lt;6,Equipamiento!$B$7="(Campo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8F9C6D9-CFA5-4AB7-ADC1-6889F9D64E0F}">
          <x14:formula1>
            <xm:f>Referencias!$A$31:$A$33</xm:f>
          </x14:formula1>
          <xm:sqref>B8:D8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6F8F-2F13-49DF-BBF0-5C97F6FF7D1E}">
  <sheetPr codeName="Hoja14"/>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467</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IF(Equipamiento!B16="Campo rellenable de descripción del equipo","Campo automático",Equipamiento!B16)</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473</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110</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468</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111</v>
      </c>
      <c r="B29" s="298"/>
      <c r="C29" s="298"/>
      <c r="D29" s="298"/>
      <c r="E29" s="186"/>
      <c r="F29" s="236"/>
      <c r="G29" s="236"/>
      <c r="H29" s="236"/>
      <c r="I29" s="286"/>
    </row>
    <row r="30" spans="1:9" ht="42" customHeight="1" thickBot="1" x14ac:dyDescent="0.3">
      <c r="A30" s="224" t="s">
        <v>474</v>
      </c>
      <c r="B30" s="495" t="s">
        <v>339</v>
      </c>
      <c r="C30" s="496"/>
      <c r="D30" s="39">
        <v>0</v>
      </c>
      <c r="E30" s="189"/>
      <c r="F30" s="236"/>
      <c r="G30" s="286"/>
      <c r="H30" s="95"/>
      <c r="I30" s="95"/>
    </row>
    <row r="31" spans="1:9" s="189" customFormat="1" ht="64.5" customHeight="1" thickBot="1" x14ac:dyDescent="0.3">
      <c r="A31" s="10" t="s">
        <v>469</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112</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470</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113</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471</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472</v>
      </c>
      <c r="C55" s="426"/>
      <c r="D55" s="315" t="s">
        <v>25</v>
      </c>
      <c r="E55" s="324"/>
      <c r="F55" s="223" t="s">
        <v>296</v>
      </c>
      <c r="G55" s="223" t="s">
        <v>297</v>
      </c>
      <c r="H55" s="223" t="s">
        <v>298</v>
      </c>
      <c r="I55" s="223" t="s">
        <v>299</v>
      </c>
    </row>
    <row r="56" spans="1:10" ht="60.75" customHeight="1" thickBot="1" x14ac:dyDescent="0.3">
      <c r="A56" s="316" t="s">
        <v>88</v>
      </c>
      <c r="B56" s="486" t="s">
        <v>475</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aStqwAiyPSNiDryFQK3s341wJRyyWoxQ3sds42323NWCMs/wImwaAxBzLOA/lKw/4bIWD/WWtVzSe/Hi1nBS5A==" saltValue="YBTFMf+FVIGzJlnWK0vyGg=="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DF26DC97-8C26-418D-BA34-A488E3431DC4}">
      <formula1>"(Campo desplegable),Medida con un contador,Estimada mediante facturas"</formula1>
    </dataValidation>
    <dataValidation type="list" allowBlank="1" showInputMessage="1" showErrorMessage="1" sqref="B9:D9" xr:uid="{7FD4BC16-36AF-46A8-970F-769CB62342EB}">
      <formula1>"(Campo desplegable),SÍ,NO"</formula1>
    </dataValidation>
  </dataValidations>
  <hyperlinks>
    <hyperlink ref="A56" location="Equipamiento!A1" display="VOLVER A EQUIPAMIENTO" xr:uid="{7ECF05BD-A785-43B1-93D8-FE9004967C5E}"/>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2939EAB3-DC10-4E93-8314-492BEEFBE765}">
            <xm:f>OR(Equipamiento!$B$7&lt;7,Equipamiento!$B$7="(Campo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86E133C-8773-49E4-B8C4-880FD5BB768D}">
          <x14:formula1>
            <xm:f>Referencias!$A$31:$A$33</xm:f>
          </x14:formula1>
          <xm:sqref>B8:D8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1DD97-8466-4CE4-9140-B6C9F20941ED}">
  <sheetPr codeName="Hoja15"/>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476</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IF(Equipamiento!B17="Campo rellenable de descripción del equipo","Campo automático",Equipamiento!B17)</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482</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114</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477</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115</v>
      </c>
      <c r="B29" s="298"/>
      <c r="C29" s="298"/>
      <c r="D29" s="298"/>
      <c r="E29" s="186"/>
      <c r="F29" s="236"/>
      <c r="G29" s="236"/>
      <c r="H29" s="236"/>
      <c r="I29" s="286"/>
    </row>
    <row r="30" spans="1:9" ht="42" customHeight="1" thickBot="1" x14ac:dyDescent="0.3">
      <c r="A30" s="224" t="s">
        <v>483</v>
      </c>
      <c r="B30" s="495" t="s">
        <v>339</v>
      </c>
      <c r="C30" s="496"/>
      <c r="D30" s="39">
        <v>0</v>
      </c>
      <c r="E30" s="189"/>
      <c r="F30" s="236"/>
      <c r="G30" s="286"/>
      <c r="H30" s="95"/>
      <c r="I30" s="95"/>
    </row>
    <row r="31" spans="1:9" s="189" customFormat="1" ht="64.5" customHeight="1" thickBot="1" x14ac:dyDescent="0.3">
      <c r="A31" s="10" t="s">
        <v>478</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116</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479</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117</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480</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481</v>
      </c>
      <c r="C55" s="426"/>
      <c r="D55" s="315" t="s">
        <v>25</v>
      </c>
      <c r="E55" s="324"/>
      <c r="F55" s="223" t="s">
        <v>296</v>
      </c>
      <c r="G55" s="223" t="s">
        <v>297</v>
      </c>
      <c r="H55" s="223" t="s">
        <v>298</v>
      </c>
      <c r="I55" s="223" t="s">
        <v>299</v>
      </c>
    </row>
    <row r="56" spans="1:10" ht="60.75" customHeight="1" thickBot="1" x14ac:dyDescent="0.3">
      <c r="A56" s="316" t="s">
        <v>88</v>
      </c>
      <c r="B56" s="486" t="s">
        <v>484</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Y/ezv3s/x6hcWot5ADUBmpPEBH4zO4MYKwNIpQLGWuzHkzDcRFWdhg5mXpf0+FJkXwuvAFDGjPcliZAzQ9GyQg==" saltValue="z3O8TgTYpN1w9Evwdcjpdw=="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065B953B-B79A-4ADD-8E87-F6C113499336}">
      <formula1>"(Campo desplegable),Medida con un contador,Estimada mediante facturas"</formula1>
    </dataValidation>
    <dataValidation type="list" allowBlank="1" showInputMessage="1" showErrorMessage="1" sqref="B9:D9" xr:uid="{089D9512-D455-4C64-9E33-905B792A9125}">
      <formula1>"(Campo desplegable),SÍ,NO"</formula1>
    </dataValidation>
  </dataValidations>
  <hyperlinks>
    <hyperlink ref="A56" location="Equipamiento!A1" display="VOLVER A EQUIPAMIENTO" xr:uid="{0BF130DB-E532-492C-B27C-6C64823CB0A3}"/>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2386229-BCC4-468C-96B8-5681BE487E38}">
            <xm:f>OR(Equipamiento!$B$7&lt;8,Equipamiento!$B$7="(Campo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59C8873-E643-4D36-9E9D-037847C56087}">
          <x14:formula1>
            <xm:f>Referencias!$A$31:$A$33</xm:f>
          </x14:formula1>
          <xm:sqref>B8:D8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A260-DF0B-42FA-85CE-74C7C06E3328}">
  <sheetPr codeName="Hoja16"/>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485</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IF(Equipamiento!B18="Campo rellenable de descripción del equipo","Campo automático",Equipamiento!B18)</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491</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118</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486</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119</v>
      </c>
      <c r="B29" s="298"/>
      <c r="C29" s="298"/>
      <c r="D29" s="298"/>
      <c r="E29" s="186"/>
      <c r="F29" s="236"/>
      <c r="G29" s="236"/>
      <c r="H29" s="236"/>
      <c r="I29" s="286"/>
    </row>
    <row r="30" spans="1:9" ht="42" customHeight="1" thickBot="1" x14ac:dyDescent="0.3">
      <c r="A30" s="224" t="s">
        <v>492</v>
      </c>
      <c r="B30" s="495" t="s">
        <v>339</v>
      </c>
      <c r="C30" s="496"/>
      <c r="D30" s="39">
        <v>0</v>
      </c>
      <c r="E30" s="189"/>
      <c r="F30" s="236"/>
      <c r="G30" s="286"/>
      <c r="H30" s="95"/>
      <c r="I30" s="95"/>
    </row>
    <row r="31" spans="1:9" s="189" customFormat="1" ht="64.5" customHeight="1" thickBot="1" x14ac:dyDescent="0.3">
      <c r="A31" s="10" t="s">
        <v>487</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120</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488</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121</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97" t="s">
        <v>410</v>
      </c>
      <c r="C49" s="475"/>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489</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490</v>
      </c>
      <c r="C55" s="426"/>
      <c r="D55" s="315" t="s">
        <v>25</v>
      </c>
      <c r="E55" s="324"/>
      <c r="F55" s="223" t="s">
        <v>296</v>
      </c>
      <c r="G55" s="223" t="s">
        <v>297</v>
      </c>
      <c r="H55" s="223" t="s">
        <v>298</v>
      </c>
      <c r="I55" s="223" t="s">
        <v>299</v>
      </c>
    </row>
    <row r="56" spans="1:10" ht="60.75" customHeight="1" thickBot="1" x14ac:dyDescent="0.3">
      <c r="A56" s="316" t="s">
        <v>88</v>
      </c>
      <c r="B56" s="486" t="s">
        <v>493</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4VceCgJlWHuFpmHT3vznh5rUSudDYn9nNiZNyAacyNSSKjQV3N0DO2CxdZsno2f7e9ESX2COy3DFu8O+TW6QXw==" saltValue="q7Srx00OdoDemIGLkSLOrA=="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680CD766-9FA1-4CFD-B4DD-D7150E759461}">
      <formula1>"(Campo desplegable),Medida con un contador,Estimada mediante facturas"</formula1>
    </dataValidation>
    <dataValidation type="list" allowBlank="1" showInputMessage="1" showErrorMessage="1" sqref="B9:D9" xr:uid="{5A92476E-9B9B-4313-9BDD-AE0993FCBACB}">
      <formula1>"(Campo desplegable),SÍ,NO"</formula1>
    </dataValidation>
  </dataValidations>
  <hyperlinks>
    <hyperlink ref="A56" location="Equipamiento!A1" display="VOLVER A EQUIPAMIENTO" xr:uid="{592A9660-DCC2-41FC-8C98-671C0710789C}"/>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8CF1C380-19B2-45C2-B066-49327F033875}">
            <xm:f>OR(Equipamiento!$B$7&lt;9,Equipamiento!$B$7="(Campo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5DE7E67-1A86-4D53-907F-EDD287AE01EF}">
          <x14:formula1>
            <xm:f>Referencias!$A$31:$A$33</xm:f>
          </x14:formula1>
          <xm:sqref>B8:D8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939A-52A0-44BB-88C2-020B6AE064EB}">
  <sheetPr codeName="Hoja17"/>
  <dimension ref="A1:M113"/>
  <sheetViews>
    <sheetView showGridLines="0" zoomScale="80" zoomScaleNormal="80" zoomScaleSheetLayoutView="70" zoomScalePageLayoutView="55" workbookViewId="0">
      <selection activeCell="B8" sqref="B8:D8"/>
    </sheetView>
  </sheetViews>
  <sheetFormatPr baseColWidth="10" defaultRowHeight="15" x14ac:dyDescent="0.25"/>
  <cols>
    <col min="1" max="1" width="48.42578125" style="11" customWidth="1"/>
    <col min="2" max="2" width="71.42578125" style="11" customWidth="1"/>
    <col min="3" max="3" width="30.85546875" style="11" customWidth="1"/>
    <col min="4" max="4" width="25.28515625" style="11" customWidth="1"/>
    <col min="5" max="5" width="30.140625" style="11" customWidth="1"/>
    <col min="6" max="9" width="27.140625" style="11" hidden="1" customWidth="1"/>
    <col min="10" max="11" width="11.42578125" style="11"/>
    <col min="12" max="12" width="24.85546875" style="11" customWidth="1"/>
    <col min="13" max="16384" width="11.42578125" style="11"/>
  </cols>
  <sheetData>
    <row r="1" spans="1:10" ht="88.5" customHeight="1" x14ac:dyDescent="0.25">
      <c r="B1" s="329"/>
    </row>
    <row r="2" spans="1:10" ht="30.75" customHeight="1" x14ac:dyDescent="0.55000000000000004">
      <c r="A2" s="360" t="s">
        <v>494</v>
      </c>
      <c r="B2" s="361"/>
      <c r="C2" s="361"/>
      <c r="D2" s="361"/>
      <c r="E2" s="48"/>
      <c r="F2" s="48"/>
      <c r="G2" s="48"/>
      <c r="H2" s="48"/>
      <c r="I2" s="269"/>
      <c r="J2" s="269"/>
    </row>
    <row r="3" spans="1:10" s="9" customFormat="1" ht="13.5" customHeight="1" thickBot="1" x14ac:dyDescent="0.55000000000000004">
      <c r="A3" s="50"/>
      <c r="B3" s="50"/>
      <c r="C3" s="50"/>
      <c r="D3" s="50"/>
      <c r="E3" s="50"/>
      <c r="F3" s="50"/>
      <c r="G3" s="50"/>
      <c r="H3" s="50"/>
      <c r="I3" s="50"/>
      <c r="J3" s="50"/>
    </row>
    <row r="4" spans="1:10" ht="48.75" customHeight="1" thickBot="1" x14ac:dyDescent="0.3">
      <c r="A4" s="98" t="s">
        <v>511</v>
      </c>
      <c r="B4" s="477" t="str">
        <f>IF('Datos generales'!B11:C11="(Campo desplegable)","Indicar en la hoja de 'Datos generales'",'Datos generales'!B11:C11)</f>
        <v>Indicar en la hoja de 'Datos generales'</v>
      </c>
      <c r="C4" s="478"/>
      <c r="D4" s="479"/>
      <c r="E4" s="270"/>
      <c r="F4" s="185"/>
      <c r="H4" s="186"/>
      <c r="I4" s="186"/>
    </row>
    <row r="5" spans="1:10" ht="27" customHeight="1" x14ac:dyDescent="0.25">
      <c r="I5" s="186"/>
      <c r="J5" s="186"/>
    </row>
    <row r="6" spans="1:10" ht="48.75" customHeight="1" thickBot="1" x14ac:dyDescent="0.45">
      <c r="A6" s="271" t="str">
        <f>IF(Equipamiento!B19="Campo rellenable de descripción del equipo","Campo automático",Equipamiento!B19)</f>
        <v>Campo automático</v>
      </c>
      <c r="E6" s="272"/>
      <c r="F6" s="272"/>
      <c r="G6" s="272"/>
      <c r="H6" s="272"/>
      <c r="I6" s="186"/>
      <c r="J6" s="186"/>
    </row>
    <row r="7" spans="1:10" ht="48.75" customHeight="1" thickBot="1" x14ac:dyDescent="0.45">
      <c r="A7" s="222" t="s">
        <v>420</v>
      </c>
      <c r="B7" s="444" t="s">
        <v>342</v>
      </c>
      <c r="C7" s="445"/>
      <c r="D7" s="446"/>
      <c r="E7" s="272"/>
      <c r="F7" s="272"/>
      <c r="G7" s="272"/>
      <c r="H7" s="272"/>
      <c r="I7" s="186"/>
      <c r="J7" s="186"/>
    </row>
    <row r="8" spans="1:10" ht="63.75" customHeight="1" thickBot="1" x14ac:dyDescent="0.3">
      <c r="A8" s="273" t="s">
        <v>347</v>
      </c>
      <c r="B8" s="480" t="s">
        <v>89</v>
      </c>
      <c r="C8" s="480"/>
      <c r="D8" s="481"/>
      <c r="F8" s="274"/>
      <c r="G8" s="274"/>
      <c r="H8" s="274"/>
      <c r="I8" s="274"/>
      <c r="J8" s="274"/>
    </row>
    <row r="9" spans="1:10" ht="63.75" customHeight="1" thickBot="1" x14ac:dyDescent="0.3">
      <c r="A9" s="273" t="s">
        <v>365</v>
      </c>
      <c r="B9" s="511" t="s">
        <v>89</v>
      </c>
      <c r="C9" s="512"/>
      <c r="D9" s="513"/>
      <c r="E9" s="275"/>
      <c r="F9" s="276"/>
      <c r="G9" s="276"/>
      <c r="H9" s="276"/>
      <c r="I9" s="186"/>
      <c r="J9" s="186"/>
    </row>
    <row r="10" spans="1:10" ht="63.75" customHeight="1" thickBot="1" x14ac:dyDescent="0.3">
      <c r="A10" s="277" t="s">
        <v>346</v>
      </c>
      <c r="B10" s="482" t="str">
        <f>IF(B8="(Campo desplegable)","Campo automático",VLOOKUP(B8,Referencias!A32:B33,2,FALSE))</f>
        <v>Campo automático</v>
      </c>
      <c r="C10" s="483"/>
      <c r="D10" s="484"/>
      <c r="F10" s="275"/>
      <c r="G10" s="276"/>
      <c r="H10" s="276"/>
      <c r="I10" s="186"/>
      <c r="J10" s="186"/>
    </row>
    <row r="11" spans="1:10" ht="30" customHeight="1" x14ac:dyDescent="0.25">
      <c r="A11" s="485" t="s">
        <v>500</v>
      </c>
      <c r="B11" s="278" t="s">
        <v>2</v>
      </c>
      <c r="C11" s="279"/>
      <c r="D11" s="35">
        <v>1</v>
      </c>
      <c r="F11" s="237"/>
      <c r="G11" s="236"/>
      <c r="H11" s="95"/>
      <c r="I11" s="95"/>
    </row>
    <row r="12" spans="1:10" s="280" customFormat="1" ht="55.5" customHeight="1" x14ac:dyDescent="0.25">
      <c r="A12" s="411"/>
      <c r="B12" s="514" t="s">
        <v>393</v>
      </c>
      <c r="C12" s="470"/>
      <c r="D12" s="34">
        <v>0</v>
      </c>
      <c r="F12" s="281"/>
      <c r="G12" s="282"/>
      <c r="H12" s="282"/>
      <c r="I12" s="282"/>
      <c r="J12" s="282"/>
    </row>
    <row r="13" spans="1:10" ht="42" customHeight="1" x14ac:dyDescent="0.25">
      <c r="A13" s="222" t="s">
        <v>122</v>
      </c>
      <c r="E13" s="186"/>
      <c r="F13" s="186"/>
      <c r="G13" s="186"/>
    </row>
    <row r="14" spans="1:10" ht="54.75" customHeight="1" x14ac:dyDescent="0.25">
      <c r="A14" s="234" t="s">
        <v>0</v>
      </c>
      <c r="B14" s="476" t="s">
        <v>335</v>
      </c>
      <c r="C14" s="476"/>
      <c r="D14" s="318" t="s">
        <v>89</v>
      </c>
      <c r="E14" s="186"/>
      <c r="F14" s="223" t="s">
        <v>291</v>
      </c>
      <c r="G14" s="223" t="s">
        <v>292</v>
      </c>
      <c r="H14" s="223" t="s">
        <v>293</v>
      </c>
      <c r="I14" s="223" t="s">
        <v>294</v>
      </c>
    </row>
    <row r="15" spans="1:10" ht="30" customHeight="1" x14ac:dyDescent="0.25">
      <c r="A15" s="224"/>
      <c r="B15" s="470" t="s">
        <v>394</v>
      </c>
      <c r="C15" s="471"/>
      <c r="D15" s="32">
        <v>0</v>
      </c>
      <c r="E15" s="186"/>
      <c r="F15" s="248" t="str">
        <f>IF($D14="Medida con un contador","X","")</f>
        <v/>
      </c>
      <c r="G15" s="248" t="str">
        <f>IF($D14="Estimada mediante facturas","X","")</f>
        <v/>
      </c>
      <c r="H15" s="248" t="s">
        <v>295</v>
      </c>
      <c r="I15" s="248"/>
    </row>
    <row r="16" spans="1:10" ht="88.5" customHeight="1" x14ac:dyDescent="0.25">
      <c r="A16" s="283" t="s">
        <v>3</v>
      </c>
      <c r="B16" s="488" t="s">
        <v>336</v>
      </c>
      <c r="C16" s="475"/>
      <c r="D16" s="38">
        <v>0</v>
      </c>
      <c r="E16" s="186"/>
      <c r="F16" s="248" t="s">
        <v>295</v>
      </c>
      <c r="G16" s="248"/>
      <c r="H16" s="248" t="s">
        <v>295</v>
      </c>
      <c r="I16" s="248"/>
    </row>
    <row r="17" spans="1:9" ht="81.75" customHeight="1" x14ac:dyDescent="0.25">
      <c r="A17" s="284"/>
      <c r="B17" s="285" t="s">
        <v>52</v>
      </c>
      <c r="C17" s="472"/>
      <c r="D17" s="473"/>
      <c r="E17" s="186"/>
      <c r="F17" s="286"/>
      <c r="G17" s="286"/>
      <c r="H17" s="95"/>
      <c r="I17" s="95"/>
    </row>
    <row r="18" spans="1:9" ht="88.5" customHeight="1" x14ac:dyDescent="0.25">
      <c r="A18" s="284"/>
      <c r="B18" s="488" t="s">
        <v>404</v>
      </c>
      <c r="C18" s="475"/>
      <c r="D18" s="38">
        <v>0</v>
      </c>
      <c r="E18" s="186"/>
      <c r="F18" s="248" t="s">
        <v>295</v>
      </c>
      <c r="G18" s="248"/>
      <c r="H18" s="248" t="s">
        <v>295</v>
      </c>
      <c r="I18" s="248"/>
    </row>
    <row r="19" spans="1:9" ht="81.75" customHeight="1" x14ac:dyDescent="0.25">
      <c r="A19" s="284"/>
      <c r="B19" s="285" t="s">
        <v>52</v>
      </c>
      <c r="C19" s="472"/>
      <c r="D19" s="473"/>
      <c r="E19" s="186"/>
      <c r="F19" s="286"/>
      <c r="G19" s="286"/>
      <c r="H19" s="95"/>
      <c r="I19" s="95"/>
    </row>
    <row r="20" spans="1:9" ht="81.75" customHeight="1" x14ac:dyDescent="0.25">
      <c r="A20" s="284"/>
      <c r="B20" s="474" t="s">
        <v>405</v>
      </c>
      <c r="C20" s="475"/>
      <c r="D20" s="33">
        <v>0</v>
      </c>
      <c r="E20" s="186"/>
      <c r="F20" s="248"/>
      <c r="G20" s="248" t="s">
        <v>295</v>
      </c>
      <c r="H20" s="248" t="s">
        <v>295</v>
      </c>
      <c r="I20" s="248"/>
    </row>
    <row r="21" spans="1:9" ht="81.75" customHeight="1" x14ac:dyDescent="0.25">
      <c r="A21" s="287"/>
      <c r="B21" s="288" t="s">
        <v>52</v>
      </c>
      <c r="C21" s="441"/>
      <c r="D21" s="441"/>
      <c r="E21" s="186"/>
      <c r="F21" s="286"/>
      <c r="G21" s="286"/>
      <c r="H21" s="95"/>
      <c r="I21" s="95"/>
    </row>
    <row r="22" spans="1:9" ht="42" customHeight="1" x14ac:dyDescent="0.25">
      <c r="A22" s="289" t="s">
        <v>1</v>
      </c>
      <c r="B22" s="517" t="s">
        <v>277</v>
      </c>
      <c r="C22" s="502"/>
      <c r="D22" s="263" t="s">
        <v>278</v>
      </c>
      <c r="E22" s="238"/>
      <c r="G22" s="286"/>
      <c r="H22" s="95"/>
      <c r="I22" s="95"/>
    </row>
    <row r="23" spans="1:9" ht="30" customHeight="1" x14ac:dyDescent="0.25">
      <c r="A23" s="290"/>
      <c r="B23" s="467" t="s">
        <v>337</v>
      </c>
      <c r="C23" s="468"/>
      <c r="D23" s="34">
        <v>0</v>
      </c>
      <c r="E23" s="186"/>
      <c r="F23" s="95"/>
      <c r="G23" s="286"/>
      <c r="H23" s="95"/>
      <c r="I23" s="95"/>
    </row>
    <row r="24" spans="1:9" ht="30" customHeight="1" x14ac:dyDescent="0.25">
      <c r="A24" s="290"/>
      <c r="B24" s="467" t="s">
        <v>333</v>
      </c>
      <c r="C24" s="468"/>
      <c r="D24" s="34">
        <v>0</v>
      </c>
      <c r="E24" s="319"/>
      <c r="G24" s="286"/>
      <c r="H24" s="95"/>
      <c r="I24" s="95"/>
    </row>
    <row r="25" spans="1:9" ht="72.75" customHeight="1" thickBot="1" x14ac:dyDescent="0.3">
      <c r="A25" s="290"/>
      <c r="B25" s="469" t="s">
        <v>416</v>
      </c>
      <c r="C25" s="470"/>
      <c r="D25" s="240">
        <f>IF(OR(B9="SÍ",B9="(Campo desplegable)"),0,((D23-D24)/B10)*(D12/D11))</f>
        <v>0</v>
      </c>
      <c r="E25" s="237"/>
      <c r="F25" s="248" t="s">
        <v>295</v>
      </c>
      <c r="G25" s="248"/>
      <c r="H25" s="248"/>
      <c r="I25" s="248" t="s">
        <v>295</v>
      </c>
    </row>
    <row r="26" spans="1:9" ht="72.75" hidden="1" customHeight="1" thickBot="1" x14ac:dyDescent="0.3">
      <c r="A26" s="224"/>
      <c r="B26" s="515" t="s">
        <v>338</v>
      </c>
      <c r="C26" s="516"/>
      <c r="D26" s="291">
        <f>IF(OR(B9="SÍ",B9="(Campo desplegable)"),0,((D23/B10)*(D12/D11))-D25)</f>
        <v>0</v>
      </c>
      <c r="E26" s="237"/>
      <c r="F26" s="292"/>
      <c r="G26" s="292" t="s">
        <v>295</v>
      </c>
      <c r="H26" s="292"/>
      <c r="I26" s="292" t="s">
        <v>295</v>
      </c>
    </row>
    <row r="27" spans="1:9" s="189" customFormat="1" ht="45" customHeight="1" thickBot="1" x14ac:dyDescent="0.3">
      <c r="A27" s="10" t="s">
        <v>495</v>
      </c>
      <c r="B27" s="504" t="s">
        <v>69</v>
      </c>
      <c r="C27" s="505"/>
      <c r="D27" s="293">
        <f>SUM(D15,D16,D18,D20,D25,D26)</f>
        <v>0</v>
      </c>
      <c r="E27" s="238"/>
      <c r="F27" s="294">
        <f>SUMIF(F15:F26,"X",$D$15:$D$26)</f>
        <v>0</v>
      </c>
      <c r="G27" s="295">
        <f>SUMIF(G15:G26,"X",$D$15:$D$26)</f>
        <v>0</v>
      </c>
      <c r="H27" s="295">
        <f>SUMIF(H15:H26,"X",$D$15:$D$26)</f>
        <v>0</v>
      </c>
      <c r="I27" s="296">
        <f>SUMIF(I15:I26,"X",$D$15:$D$26)</f>
        <v>0</v>
      </c>
    </row>
    <row r="28" spans="1:9" s="189" customFormat="1" ht="15.75" x14ac:dyDescent="0.25">
      <c r="A28" s="297"/>
      <c r="B28" s="298"/>
      <c r="C28" s="298"/>
      <c r="D28" s="298"/>
      <c r="F28" s="236"/>
      <c r="G28" s="236"/>
      <c r="H28" s="236"/>
      <c r="I28" s="236"/>
    </row>
    <row r="29" spans="1:9" s="189" customFormat="1" ht="15.75" x14ac:dyDescent="0.25">
      <c r="A29" s="299" t="s">
        <v>123</v>
      </c>
      <c r="B29" s="298"/>
      <c r="C29" s="298"/>
      <c r="D29" s="298"/>
      <c r="E29" s="186"/>
      <c r="F29" s="236"/>
      <c r="G29" s="236"/>
      <c r="H29" s="236"/>
      <c r="I29" s="286"/>
    </row>
    <row r="30" spans="1:9" ht="42" customHeight="1" thickBot="1" x14ac:dyDescent="0.3">
      <c r="A30" s="224" t="s">
        <v>501</v>
      </c>
      <c r="B30" s="495" t="s">
        <v>339</v>
      </c>
      <c r="C30" s="496"/>
      <c r="D30" s="39">
        <v>0</v>
      </c>
      <c r="E30" s="189"/>
      <c r="F30" s="236"/>
      <c r="G30" s="286"/>
      <c r="H30" s="95"/>
      <c r="I30" s="95"/>
    </row>
    <row r="31" spans="1:9" s="189" customFormat="1" ht="64.5" customHeight="1" thickBot="1" x14ac:dyDescent="0.3">
      <c r="A31" s="10" t="s">
        <v>496</v>
      </c>
      <c r="B31" s="493" t="s">
        <v>69</v>
      </c>
      <c r="C31" s="494"/>
      <c r="D31" s="293">
        <f>(D30*D12/D11)</f>
        <v>0</v>
      </c>
      <c r="E31" s="238"/>
      <c r="F31" s="248"/>
      <c r="G31" s="248" t="s">
        <v>295</v>
      </c>
      <c r="H31" s="248"/>
      <c r="I31" s="248"/>
    </row>
    <row r="32" spans="1:9" s="189" customFormat="1" ht="16.5" thickBot="1" x14ac:dyDescent="0.3">
      <c r="A32" s="297"/>
      <c r="B32" s="300"/>
      <c r="C32" s="300"/>
      <c r="D32" s="298"/>
      <c r="F32" s="294">
        <f>SUMIF(F30:F31,"X",$D$30:$D$31)</f>
        <v>0</v>
      </c>
      <c r="G32" s="294">
        <f t="shared" ref="G32:I32" si="0">SUMIF(G30:G31,"X",$D$30:$D$31)</f>
        <v>0</v>
      </c>
      <c r="H32" s="294">
        <f t="shared" si="0"/>
        <v>0</v>
      </c>
      <c r="I32" s="294">
        <f t="shared" si="0"/>
        <v>0</v>
      </c>
    </row>
    <row r="33" spans="1:11" s="189" customFormat="1" ht="15.75" x14ac:dyDescent="0.25">
      <c r="A33" s="299" t="s">
        <v>124</v>
      </c>
      <c r="B33" s="300"/>
      <c r="C33" s="300"/>
      <c r="D33" s="298"/>
      <c r="E33" s="186"/>
      <c r="F33" s="95"/>
      <c r="G33" s="236"/>
      <c r="H33" s="236"/>
      <c r="I33" s="236"/>
    </row>
    <row r="34" spans="1:11" ht="30" customHeight="1" x14ac:dyDescent="0.25">
      <c r="A34" s="301" t="s">
        <v>0</v>
      </c>
      <c r="B34" s="503" t="s">
        <v>340</v>
      </c>
      <c r="C34" s="503"/>
      <c r="D34" s="34">
        <v>0</v>
      </c>
      <c r="E34" s="186"/>
      <c r="F34" s="248"/>
      <c r="G34" s="248" t="s">
        <v>295</v>
      </c>
      <c r="H34" s="248" t="s">
        <v>295</v>
      </c>
      <c r="I34" s="248"/>
      <c r="J34" s="320"/>
    </row>
    <row r="35" spans="1:11" ht="30" customHeight="1" x14ac:dyDescent="0.25">
      <c r="A35" s="301" t="s">
        <v>3</v>
      </c>
      <c r="B35" s="501" t="s">
        <v>341</v>
      </c>
      <c r="C35" s="502"/>
      <c r="D35" s="39">
        <v>0</v>
      </c>
      <c r="E35" s="186"/>
      <c r="F35" s="248"/>
      <c r="G35" s="248" t="s">
        <v>295</v>
      </c>
      <c r="H35" s="248" t="s">
        <v>295</v>
      </c>
      <c r="I35" s="248"/>
      <c r="J35" s="320"/>
    </row>
    <row r="36" spans="1:11" ht="72" customHeight="1" x14ac:dyDescent="0.25">
      <c r="A36" s="302"/>
      <c r="B36" s="303" t="s">
        <v>52</v>
      </c>
      <c r="C36" s="472"/>
      <c r="D36" s="473"/>
      <c r="E36" s="186"/>
      <c r="F36" s="95"/>
      <c r="G36" s="95"/>
      <c r="H36" s="95"/>
      <c r="I36" s="95"/>
    </row>
    <row r="37" spans="1:11" ht="30" customHeight="1" x14ac:dyDescent="0.25">
      <c r="A37" s="284" t="s">
        <v>66</v>
      </c>
      <c r="B37" s="498" t="s">
        <v>68</v>
      </c>
      <c r="C37" s="499"/>
      <c r="D37" s="500"/>
      <c r="E37" s="186"/>
      <c r="F37" s="304"/>
      <c r="G37" s="95"/>
      <c r="H37" s="95"/>
      <c r="I37" s="95"/>
    </row>
    <row r="38" spans="1:11" ht="30" customHeight="1" x14ac:dyDescent="0.25">
      <c r="A38" s="284"/>
      <c r="B38" s="417" t="s">
        <v>406</v>
      </c>
      <c r="C38" s="417"/>
      <c r="D38" s="35">
        <v>1</v>
      </c>
      <c r="E38" s="186"/>
      <c r="F38" s="304"/>
      <c r="G38" s="95"/>
      <c r="H38" s="95"/>
      <c r="I38" s="95"/>
    </row>
    <row r="39" spans="1:11" ht="30" customHeight="1" x14ac:dyDescent="0.25">
      <c r="A39" s="284"/>
      <c r="B39" s="497" t="s">
        <v>348</v>
      </c>
      <c r="C39" s="475"/>
      <c r="D39" s="39">
        <v>0</v>
      </c>
      <c r="F39" s="97"/>
      <c r="G39" s="95"/>
      <c r="H39" s="95"/>
      <c r="I39" s="95"/>
    </row>
    <row r="40" spans="1:11" s="9" customFormat="1" ht="50.25" hidden="1" customHeight="1" x14ac:dyDescent="0.25">
      <c r="A40" s="284"/>
      <c r="B40" s="489" t="s">
        <v>366</v>
      </c>
      <c r="C40" s="490"/>
      <c r="D40" s="305">
        <f>IF(OR(B9="SÍ",B9="(Campo desplegable)"),0,(D23/B10)*(D39/D11))</f>
        <v>0</v>
      </c>
      <c r="E40" s="186"/>
      <c r="J40" s="320"/>
    </row>
    <row r="41" spans="1:11" s="9" customFormat="1" ht="50.25" customHeight="1" thickBot="1" x14ac:dyDescent="0.3">
      <c r="A41" s="284"/>
      <c r="B41" s="510" t="s">
        <v>417</v>
      </c>
      <c r="C41" s="510"/>
      <c r="D41" s="305">
        <f>D40/D38</f>
        <v>0</v>
      </c>
      <c r="E41" s="321"/>
      <c r="F41" s="248"/>
      <c r="G41" s="248" t="s">
        <v>295</v>
      </c>
      <c r="H41" s="248"/>
      <c r="I41" s="248" t="s">
        <v>295</v>
      </c>
      <c r="J41" s="320"/>
    </row>
    <row r="42" spans="1:11" s="9" customFormat="1" ht="66.75" customHeight="1" thickBot="1" x14ac:dyDescent="0.3">
      <c r="A42" s="306" t="s">
        <v>497</v>
      </c>
      <c r="B42" s="491" t="s">
        <v>69</v>
      </c>
      <c r="C42" s="492"/>
      <c r="D42" s="293">
        <f>SUM(D34,D35,D41)</f>
        <v>0</v>
      </c>
      <c r="F42" s="294">
        <f>SUMIF(F34:F41,"X",$D$34:$D$41)</f>
        <v>0</v>
      </c>
      <c r="G42" s="294">
        <f>SUMIF(G34:G41,"X",$D$34:$D$41)</f>
        <v>0</v>
      </c>
      <c r="H42" s="294">
        <f>SUMIF(H34:H41,"X",$D$34:$D$41)</f>
        <v>0</v>
      </c>
      <c r="I42" s="294">
        <f>SUMIF(I34:I41,"X",$D$34:$D$41)</f>
        <v>0</v>
      </c>
      <c r="K42" s="237"/>
    </row>
    <row r="43" spans="1:11" ht="15.75" x14ac:dyDescent="0.25">
      <c r="A43" s="297"/>
      <c r="B43" s="298"/>
      <c r="C43" s="298"/>
      <c r="D43" s="298"/>
      <c r="E43" s="189"/>
      <c r="F43" s="236"/>
      <c r="G43" s="236"/>
      <c r="H43" s="236"/>
      <c r="I43" s="95"/>
    </row>
    <row r="44" spans="1:11" ht="20.25" customHeight="1" x14ac:dyDescent="0.25">
      <c r="A44" s="299" t="s">
        <v>125</v>
      </c>
      <c r="B44" s="298"/>
      <c r="C44" s="298"/>
      <c r="D44" s="298"/>
      <c r="E44" s="186"/>
      <c r="F44" s="95"/>
      <c r="G44" s="95"/>
      <c r="H44" s="95"/>
      <c r="I44" s="95"/>
    </row>
    <row r="45" spans="1:11" ht="30" customHeight="1" x14ac:dyDescent="0.25">
      <c r="A45" s="307" t="s">
        <v>0</v>
      </c>
      <c r="B45" s="503" t="s">
        <v>350</v>
      </c>
      <c r="C45" s="503"/>
      <c r="D45" s="34">
        <v>0</v>
      </c>
      <c r="E45" s="186"/>
      <c r="F45" s="248"/>
      <c r="G45" s="248" t="s">
        <v>295</v>
      </c>
      <c r="H45" s="248" t="s">
        <v>295</v>
      </c>
      <c r="I45" s="248"/>
      <c r="J45" s="320"/>
    </row>
    <row r="46" spans="1:11" ht="30" customHeight="1" x14ac:dyDescent="0.25">
      <c r="A46" s="301" t="s">
        <v>3</v>
      </c>
      <c r="B46" s="501" t="s">
        <v>351</v>
      </c>
      <c r="C46" s="502"/>
      <c r="D46" s="34">
        <v>0</v>
      </c>
      <c r="E46" s="186"/>
      <c r="F46" s="248"/>
      <c r="G46" s="248" t="s">
        <v>295</v>
      </c>
      <c r="H46" s="248" t="s">
        <v>295</v>
      </c>
      <c r="I46" s="248"/>
      <c r="J46" s="320"/>
    </row>
    <row r="47" spans="1:11" ht="70.5" customHeight="1" x14ac:dyDescent="0.25">
      <c r="A47" s="302"/>
      <c r="B47" s="303" t="s">
        <v>52</v>
      </c>
      <c r="C47" s="472"/>
      <c r="D47" s="473"/>
      <c r="E47" s="186"/>
      <c r="F47" s="95"/>
      <c r="G47" s="95"/>
      <c r="H47" s="95"/>
      <c r="I47" s="95"/>
    </row>
    <row r="48" spans="1:11" ht="30" customHeight="1" x14ac:dyDescent="0.25">
      <c r="A48" s="284" t="s">
        <v>66</v>
      </c>
      <c r="B48" s="498" t="s">
        <v>68</v>
      </c>
      <c r="C48" s="499"/>
      <c r="D48" s="500"/>
      <c r="E48" s="186"/>
      <c r="F48" s="304"/>
      <c r="G48" s="95"/>
      <c r="H48" s="95"/>
      <c r="I48" s="95"/>
    </row>
    <row r="49" spans="1:10" ht="30" customHeight="1" x14ac:dyDescent="0.25">
      <c r="A49" s="284"/>
      <c r="B49" s="417" t="s">
        <v>410</v>
      </c>
      <c r="C49" s="417"/>
      <c r="D49" s="35">
        <v>1</v>
      </c>
      <c r="E49" s="186"/>
      <c r="F49" s="304"/>
      <c r="G49" s="95"/>
      <c r="H49" s="95"/>
      <c r="I49" s="95"/>
    </row>
    <row r="50" spans="1:10" ht="30" customHeight="1" x14ac:dyDescent="0.25">
      <c r="A50" s="284"/>
      <c r="B50" s="497" t="s">
        <v>349</v>
      </c>
      <c r="C50" s="475"/>
      <c r="D50" s="39">
        <v>0</v>
      </c>
      <c r="E50" s="322"/>
      <c r="F50" s="308"/>
      <c r="G50" s="95"/>
      <c r="H50" s="95"/>
      <c r="I50" s="95"/>
    </row>
    <row r="51" spans="1:10" ht="53.25" hidden="1" customHeight="1" x14ac:dyDescent="0.25">
      <c r="A51" s="284"/>
      <c r="B51" s="508" t="s">
        <v>366</v>
      </c>
      <c r="C51" s="475"/>
      <c r="D51" s="309">
        <f>IF(OR(B9="SÍ",B9="(Campo desplegable)"),0,(D23/B10)*(D50/D11))</f>
        <v>0</v>
      </c>
      <c r="E51" s="186"/>
      <c r="J51" s="320"/>
    </row>
    <row r="52" spans="1:10" ht="53.25" customHeight="1" thickBot="1" x14ac:dyDescent="0.3">
      <c r="A52" s="284"/>
      <c r="B52" s="506" t="s">
        <v>411</v>
      </c>
      <c r="C52" s="507"/>
      <c r="D52" s="310">
        <f>D51/D49</f>
        <v>0</v>
      </c>
      <c r="E52" s="186"/>
      <c r="F52" s="248"/>
      <c r="G52" s="248" t="s">
        <v>295</v>
      </c>
      <c r="H52" s="248"/>
      <c r="I52" s="248" t="s">
        <v>295</v>
      </c>
      <c r="J52" s="320"/>
    </row>
    <row r="53" spans="1:10" ht="108.75" customHeight="1" thickBot="1" x14ac:dyDescent="0.3">
      <c r="A53" s="311" t="s">
        <v>498</v>
      </c>
      <c r="B53" s="509" t="s">
        <v>69</v>
      </c>
      <c r="C53" s="491"/>
      <c r="D53" s="293">
        <f>SUM(D45,D46,D52)</f>
        <v>0</v>
      </c>
      <c r="F53" s="294">
        <f>SUMIF(F45:F52,"X",$D$45:$D$52)</f>
        <v>0</v>
      </c>
      <c r="G53" s="294">
        <f>SUMIF(G45:G52,"X",$D$45:$D$52)</f>
        <v>0</v>
      </c>
      <c r="H53" s="294">
        <f>SUMIF(H45:H52,"X",$D$45:$D$52)</f>
        <v>0</v>
      </c>
      <c r="I53" s="294">
        <f>SUMIF(I45:I52,"X",$D$45:$D$52)</f>
        <v>0</v>
      </c>
    </row>
    <row r="54" spans="1:10" s="9" customFormat="1" ht="69" customHeight="1" thickBot="1" x14ac:dyDescent="0.3">
      <c r="A54" s="312"/>
      <c r="B54" s="313"/>
      <c r="C54" s="313"/>
      <c r="D54" s="314"/>
      <c r="F54" s="97"/>
      <c r="G54" s="97"/>
      <c r="H54" s="97"/>
      <c r="I54" s="97"/>
      <c r="J54" s="323"/>
    </row>
    <row r="55" spans="1:10" ht="46.5" customHeight="1" thickBot="1" x14ac:dyDescent="0.3">
      <c r="B55" s="424" t="s">
        <v>499</v>
      </c>
      <c r="C55" s="426"/>
      <c r="D55" s="315" t="s">
        <v>25</v>
      </c>
      <c r="E55" s="324"/>
      <c r="F55" s="223" t="s">
        <v>296</v>
      </c>
      <c r="G55" s="223" t="s">
        <v>297</v>
      </c>
      <c r="H55" s="223" t="s">
        <v>298</v>
      </c>
      <c r="I55" s="223" t="s">
        <v>299</v>
      </c>
    </row>
    <row r="56" spans="1:10" ht="60.75" customHeight="1" thickBot="1" x14ac:dyDescent="0.3">
      <c r="A56" s="316" t="s">
        <v>88</v>
      </c>
      <c r="B56" s="486" t="s">
        <v>502</v>
      </c>
      <c r="C56" s="487"/>
      <c r="D56" s="317">
        <f>SUM(D27,D31,D42,D53)</f>
        <v>0</v>
      </c>
      <c r="E56" s="324"/>
      <c r="F56" s="230">
        <f>SUMIF(F15:F52,"X",$D$15:$D$52)</f>
        <v>0</v>
      </c>
      <c r="G56" s="230">
        <f>SUMIF(G15:G52,"X",$D$15:$D$52)</f>
        <v>0</v>
      </c>
      <c r="H56" s="230">
        <f>SUMIF(H15:H52,"X",$D$15:$D$52)</f>
        <v>0</v>
      </c>
      <c r="I56" s="230">
        <f>SUMIF(I15:I52,"X",$D$15:$D$52)</f>
        <v>0</v>
      </c>
    </row>
    <row r="57" spans="1:10" ht="30.75" customHeight="1" x14ac:dyDescent="0.25">
      <c r="F57" s="95"/>
      <c r="G57" s="95"/>
      <c r="H57" s="95"/>
      <c r="I57" s="95"/>
    </row>
    <row r="58" spans="1:10" x14ac:dyDescent="0.25">
      <c r="F58" s="95"/>
      <c r="G58" s="95"/>
      <c r="H58" s="95"/>
      <c r="I58" s="95"/>
    </row>
    <row r="59" spans="1:10" x14ac:dyDescent="0.25">
      <c r="F59" s="95"/>
      <c r="G59" s="95"/>
      <c r="H59" s="95"/>
      <c r="I59" s="95"/>
    </row>
    <row r="60" spans="1:10" x14ac:dyDescent="0.25">
      <c r="F60" s="95"/>
      <c r="G60" s="95"/>
      <c r="H60" s="95"/>
      <c r="I60" s="95"/>
    </row>
    <row r="61" spans="1:10" x14ac:dyDescent="0.25">
      <c r="F61" s="95"/>
      <c r="G61" s="95"/>
      <c r="H61" s="95"/>
      <c r="I61" s="95"/>
    </row>
    <row r="62" spans="1:10" x14ac:dyDescent="0.25">
      <c r="F62" s="95"/>
      <c r="G62" s="95"/>
      <c r="H62" s="95"/>
      <c r="I62" s="95"/>
    </row>
    <row r="63" spans="1:10" x14ac:dyDescent="0.25">
      <c r="F63" s="95"/>
      <c r="G63" s="95"/>
      <c r="H63" s="95"/>
      <c r="I63" s="95"/>
    </row>
    <row r="64" spans="1:10" x14ac:dyDescent="0.25">
      <c r="F64" s="95"/>
      <c r="G64" s="95"/>
      <c r="H64" s="95"/>
      <c r="I64" s="95"/>
    </row>
    <row r="65" spans="6:9" x14ac:dyDescent="0.25">
      <c r="F65" s="95"/>
      <c r="G65" s="95"/>
      <c r="H65" s="95"/>
      <c r="I65" s="95"/>
    </row>
    <row r="66" spans="6:9" x14ac:dyDescent="0.25">
      <c r="F66" s="95"/>
      <c r="G66" s="95"/>
      <c r="H66" s="95"/>
      <c r="I66" s="95"/>
    </row>
    <row r="67" spans="6:9" x14ac:dyDescent="0.25">
      <c r="F67" s="95"/>
      <c r="G67" s="95"/>
      <c r="H67" s="95"/>
      <c r="I67" s="95"/>
    </row>
    <row r="68" spans="6:9" x14ac:dyDescent="0.25">
      <c r="F68" s="95"/>
      <c r="G68" s="95"/>
      <c r="H68" s="95"/>
      <c r="I68" s="95"/>
    </row>
    <row r="69" spans="6:9" x14ac:dyDescent="0.25">
      <c r="F69" s="95"/>
      <c r="G69" s="95"/>
      <c r="H69" s="95"/>
      <c r="I69" s="95"/>
    </row>
    <row r="70" spans="6:9" x14ac:dyDescent="0.25">
      <c r="F70" s="95"/>
      <c r="G70" s="95"/>
      <c r="H70" s="95"/>
      <c r="I70" s="95"/>
    </row>
    <row r="71" spans="6:9" x14ac:dyDescent="0.25">
      <c r="F71" s="95"/>
      <c r="G71" s="95"/>
      <c r="H71" s="95"/>
      <c r="I71" s="95"/>
    </row>
    <row r="72" spans="6:9" x14ac:dyDescent="0.25">
      <c r="F72" s="95"/>
      <c r="G72" s="95"/>
      <c r="H72" s="95"/>
      <c r="I72" s="95"/>
    </row>
    <row r="73" spans="6:9" x14ac:dyDescent="0.25">
      <c r="F73" s="95"/>
      <c r="G73" s="95"/>
      <c r="H73" s="95"/>
      <c r="I73" s="95"/>
    </row>
    <row r="74" spans="6:9" x14ac:dyDescent="0.25">
      <c r="F74" s="95"/>
      <c r="G74" s="95"/>
      <c r="H74" s="95"/>
      <c r="I74" s="95"/>
    </row>
    <row r="75" spans="6:9" x14ac:dyDescent="0.25">
      <c r="F75" s="95"/>
      <c r="G75" s="95"/>
      <c r="H75" s="95"/>
      <c r="I75" s="95"/>
    </row>
    <row r="76" spans="6:9" x14ac:dyDescent="0.25">
      <c r="F76" s="95"/>
      <c r="G76" s="95"/>
      <c r="H76" s="95"/>
      <c r="I76" s="95"/>
    </row>
    <row r="77" spans="6:9" x14ac:dyDescent="0.25">
      <c r="F77" s="95"/>
      <c r="G77" s="95"/>
      <c r="H77" s="95"/>
      <c r="I77" s="95"/>
    </row>
    <row r="78" spans="6:9" x14ac:dyDescent="0.25">
      <c r="F78" s="95"/>
      <c r="G78" s="95"/>
      <c r="H78" s="95"/>
      <c r="I78" s="95"/>
    </row>
    <row r="79" spans="6:9" x14ac:dyDescent="0.25">
      <c r="F79" s="95"/>
      <c r="G79" s="95"/>
      <c r="H79" s="95"/>
      <c r="I79" s="95"/>
    </row>
    <row r="80" spans="6:9" x14ac:dyDescent="0.25">
      <c r="F80" s="95"/>
      <c r="G80" s="95"/>
      <c r="H80" s="95"/>
      <c r="I80" s="95"/>
    </row>
    <row r="81" spans="6:9" x14ac:dyDescent="0.25">
      <c r="F81" s="95"/>
      <c r="G81" s="95"/>
      <c r="H81" s="95"/>
      <c r="I81" s="95"/>
    </row>
    <row r="82" spans="6:9" x14ac:dyDescent="0.25">
      <c r="F82" s="95"/>
      <c r="G82" s="95"/>
      <c r="H82" s="95"/>
      <c r="I82" s="95"/>
    </row>
    <row r="83" spans="6:9" x14ac:dyDescent="0.25">
      <c r="F83" s="95"/>
      <c r="G83" s="95"/>
      <c r="H83" s="95"/>
      <c r="I83" s="95"/>
    </row>
    <row r="84" spans="6:9" x14ac:dyDescent="0.25">
      <c r="F84" s="95"/>
      <c r="G84" s="95"/>
      <c r="H84" s="95"/>
      <c r="I84" s="95"/>
    </row>
    <row r="85" spans="6:9" x14ac:dyDescent="0.25">
      <c r="F85" s="95"/>
      <c r="G85" s="95"/>
      <c r="H85" s="95"/>
      <c r="I85" s="95"/>
    </row>
    <row r="86" spans="6:9" x14ac:dyDescent="0.25">
      <c r="F86" s="95"/>
      <c r="G86" s="95"/>
      <c r="H86" s="95"/>
      <c r="I86" s="95"/>
    </row>
    <row r="107" spans="13:13" x14ac:dyDescent="0.25">
      <c r="M107" s="186"/>
    </row>
    <row r="108" spans="13:13" x14ac:dyDescent="0.25">
      <c r="M108" s="186"/>
    </row>
    <row r="109" spans="13:13" x14ac:dyDescent="0.25">
      <c r="M109" s="186"/>
    </row>
    <row r="110" spans="13:13" x14ac:dyDescent="0.25">
      <c r="M110" s="186"/>
    </row>
    <row r="111" spans="13:13" x14ac:dyDescent="0.25">
      <c r="M111" s="186"/>
    </row>
    <row r="112" spans="13:13" x14ac:dyDescent="0.25">
      <c r="M112" s="186"/>
    </row>
    <row r="113" spans="13:13" x14ac:dyDescent="0.25">
      <c r="M113" s="186"/>
    </row>
  </sheetData>
  <sheetProtection algorithmName="SHA-512" hashValue="sD8X6yKySYargCqhecn74zB2kC8870+ChqOLGIMWRcwW7r3Kw786bcO856U/k2frDuTt0mHRquJOkNBWM2ggzA==" saltValue="8lQyzt+JIvzqzVS6oSVAXg==" spinCount="100000" sheet="1" objects="1" scenarios="1"/>
  <mergeCells count="44">
    <mergeCell ref="C36:D36"/>
    <mergeCell ref="B37:D37"/>
    <mergeCell ref="B46:C46"/>
    <mergeCell ref="B39:C39"/>
    <mergeCell ref="B40:C40"/>
    <mergeCell ref="B38:C38"/>
    <mergeCell ref="B56:C56"/>
    <mergeCell ref="B51:C51"/>
    <mergeCell ref="B52:C52"/>
    <mergeCell ref="B53:C53"/>
    <mergeCell ref="B55:C55"/>
    <mergeCell ref="B50:C50"/>
    <mergeCell ref="B48:D48"/>
    <mergeCell ref="B41:C41"/>
    <mergeCell ref="B49:C49"/>
    <mergeCell ref="B45:C45"/>
    <mergeCell ref="B42:C42"/>
    <mergeCell ref="C47:D47"/>
    <mergeCell ref="B12:C12"/>
    <mergeCell ref="B10:D10"/>
    <mergeCell ref="B15:C15"/>
    <mergeCell ref="B20:C20"/>
    <mergeCell ref="A11:A12"/>
    <mergeCell ref="B14:C14"/>
    <mergeCell ref="B16:C16"/>
    <mergeCell ref="C17:D17"/>
    <mergeCell ref="B18:C18"/>
    <mergeCell ref="B8:D8"/>
    <mergeCell ref="B4:D4"/>
    <mergeCell ref="A2:D2"/>
    <mergeCell ref="B7:D7"/>
    <mergeCell ref="B9:D9"/>
    <mergeCell ref="B34:C34"/>
    <mergeCell ref="B35:C35"/>
    <mergeCell ref="C19:D19"/>
    <mergeCell ref="C21:D21"/>
    <mergeCell ref="B22:C22"/>
    <mergeCell ref="B23:C23"/>
    <mergeCell ref="B24:C24"/>
    <mergeCell ref="B25:C25"/>
    <mergeCell ref="B26:C26"/>
    <mergeCell ref="B27:C27"/>
    <mergeCell ref="B30:C30"/>
    <mergeCell ref="B31:C31"/>
  </mergeCells>
  <dataValidations count="2">
    <dataValidation type="list" allowBlank="1" showInputMessage="1" showErrorMessage="1" sqref="D14" xr:uid="{1D45E5ED-4E47-4547-B51D-15C09AD58747}">
      <formula1>"(Campo desplegable),Medida con un contador,Estimada mediante facturas"</formula1>
    </dataValidation>
    <dataValidation type="list" allowBlank="1" showInputMessage="1" showErrorMessage="1" sqref="B9:D9" xr:uid="{185E185E-6E48-4F2F-8345-427058B09F1F}">
      <formula1>"(Campo desplegable),SÍ,NO"</formula1>
    </dataValidation>
  </dataValidations>
  <hyperlinks>
    <hyperlink ref="A56" location="Equipamiento!A1" display="VOLVER A EQUIPAMIENTO" xr:uid="{1C0C5737-6CEF-4B18-B88E-FF05A18B0334}"/>
  </hyperlinks>
  <pageMargins left="0.7" right="0.7" top="0.75" bottom="0.75" header="0.3" footer="0.3"/>
  <pageSetup paperSize="9" scale="24"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8177B240-5DEF-4316-8E25-D419A58D2010}">
            <xm:f>OR(Equipamiento!$B$7&lt;10,Equipamiento!$B$7="(Campo desplegable)")</xm:f>
            <x14:dxf>
              <font>
                <color theme="0"/>
              </font>
              <fill>
                <patternFill>
                  <bgColor theme="0"/>
                </patternFill>
              </fill>
              <border>
                <left/>
                <right/>
                <top/>
                <bottom/>
                <vertical/>
                <horizontal/>
              </border>
            </x14:dxf>
          </x14:cfRule>
          <xm:sqref>A1:XFD1048576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FED20C-A121-4402-8830-E76107CFFFDD}">
          <x14:formula1>
            <xm:f>Referencias!$A$31:$A$33</xm:f>
          </x14:formula1>
          <xm:sqref>B8:D8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3289-7ABE-4121-B0B6-EA8335F424FA}">
  <sheetPr codeName="Hoja7"/>
  <dimension ref="A1:H150"/>
  <sheetViews>
    <sheetView zoomScale="70" zoomScaleNormal="70" workbookViewId="0">
      <selection activeCell="H3" sqref="H3:H150"/>
    </sheetView>
  </sheetViews>
  <sheetFormatPr baseColWidth="10" defaultRowHeight="15" x14ac:dyDescent="0.25"/>
  <cols>
    <col min="1" max="1" width="41.85546875" style="1" customWidth="1"/>
    <col min="2" max="2" width="8.5703125" style="1" customWidth="1"/>
    <col min="3" max="3" width="38" style="1" customWidth="1"/>
    <col min="4" max="4" width="13.140625" style="1" customWidth="1"/>
    <col min="5" max="5" width="50.85546875" style="1" customWidth="1"/>
    <col min="6" max="6" width="13.140625" style="1" customWidth="1"/>
    <col min="7" max="7" width="38" style="1" customWidth="1"/>
    <col min="8" max="8" width="116.140625" style="1" customWidth="1"/>
    <col min="9" max="9" width="21.5703125" style="1" customWidth="1"/>
    <col min="10" max="10" width="11.42578125" style="1"/>
    <col min="11" max="11" width="48.42578125" style="1" customWidth="1"/>
    <col min="12" max="16384" width="11.42578125" style="1"/>
  </cols>
  <sheetData>
    <row r="1" spans="1:8" ht="15.75" thickBot="1" x14ac:dyDescent="0.3">
      <c r="A1" s="518" t="s">
        <v>300</v>
      </c>
      <c r="B1" s="519"/>
      <c r="C1" s="518" t="s">
        <v>303</v>
      </c>
      <c r="D1" s="520"/>
      <c r="E1" s="518" t="s">
        <v>304</v>
      </c>
      <c r="F1" s="519"/>
      <c r="G1" s="23" t="s">
        <v>301</v>
      </c>
      <c r="H1" s="24" t="s">
        <v>302</v>
      </c>
    </row>
    <row r="2" spans="1:8" x14ac:dyDescent="0.25">
      <c r="A2" s="20" t="s">
        <v>89</v>
      </c>
      <c r="B2" s="21">
        <v>0</v>
      </c>
      <c r="C2" s="20" t="s">
        <v>89</v>
      </c>
      <c r="D2" s="22">
        <v>0</v>
      </c>
      <c r="E2" s="20" t="s">
        <v>89</v>
      </c>
      <c r="F2" s="21">
        <v>0</v>
      </c>
      <c r="G2" s="25" t="s">
        <v>89</v>
      </c>
      <c r="H2" s="26" t="s">
        <v>89</v>
      </c>
    </row>
    <row r="3" spans="1:8" x14ac:dyDescent="0.25">
      <c r="A3" s="4" t="s">
        <v>525</v>
      </c>
      <c r="B3" s="5">
        <v>64.7</v>
      </c>
      <c r="C3" s="4" t="s">
        <v>531</v>
      </c>
      <c r="D3" s="8">
        <v>34.1</v>
      </c>
      <c r="E3" s="4" t="s">
        <v>525</v>
      </c>
      <c r="F3" s="5">
        <v>64.7</v>
      </c>
      <c r="G3" s="18" t="s">
        <v>543</v>
      </c>
      <c r="H3" s="521" t="s">
        <v>138</v>
      </c>
    </row>
    <row r="4" spans="1:8" x14ac:dyDescent="0.25">
      <c r="A4" s="4" t="s">
        <v>526</v>
      </c>
      <c r="B4" s="5">
        <v>57.86</v>
      </c>
      <c r="C4" s="4" t="s">
        <v>532</v>
      </c>
      <c r="D4" s="8">
        <v>29.51</v>
      </c>
      <c r="E4" s="4" t="s">
        <v>526</v>
      </c>
      <c r="F4" s="5">
        <v>57.86</v>
      </c>
      <c r="G4" s="18" t="s">
        <v>544</v>
      </c>
      <c r="H4" s="521" t="s">
        <v>139</v>
      </c>
    </row>
    <row r="5" spans="1:8" x14ac:dyDescent="0.25">
      <c r="A5" s="4" t="s">
        <v>527</v>
      </c>
      <c r="B5" s="5">
        <v>48.43</v>
      </c>
      <c r="C5" s="4" t="s">
        <v>533</v>
      </c>
      <c r="D5" s="8">
        <v>24.8</v>
      </c>
      <c r="E5" s="4" t="s">
        <v>527</v>
      </c>
      <c r="F5" s="5">
        <v>48.43</v>
      </c>
      <c r="G5" s="18" t="s">
        <v>545</v>
      </c>
      <c r="H5" s="521" t="s">
        <v>140</v>
      </c>
    </row>
    <row r="6" spans="1:8" x14ac:dyDescent="0.25">
      <c r="A6" s="4" t="s">
        <v>9</v>
      </c>
      <c r="B6" s="5">
        <v>41.45</v>
      </c>
      <c r="C6" s="4" t="s">
        <v>534</v>
      </c>
      <c r="D6" s="8">
        <v>22.23</v>
      </c>
      <c r="E6" s="4" t="s">
        <v>9</v>
      </c>
      <c r="F6" s="5">
        <v>41.45</v>
      </c>
      <c r="G6" s="18" t="s">
        <v>548</v>
      </c>
      <c r="H6" s="521" t="s">
        <v>141</v>
      </c>
    </row>
    <row r="7" spans="1:8" x14ac:dyDescent="0.25">
      <c r="A7" s="4" t="s">
        <v>537</v>
      </c>
      <c r="B7" s="5">
        <v>41.11</v>
      </c>
      <c r="C7" s="4" t="s">
        <v>535</v>
      </c>
      <c r="D7" s="8">
        <v>21.87</v>
      </c>
      <c r="E7" s="4" t="s">
        <v>537</v>
      </c>
      <c r="F7" s="5">
        <v>41.11</v>
      </c>
      <c r="G7" s="18" t="s">
        <v>126</v>
      </c>
      <c r="H7" s="521" t="s">
        <v>142</v>
      </c>
    </row>
    <row r="8" spans="1:8" x14ac:dyDescent="0.25">
      <c r="A8" s="4" t="s">
        <v>8</v>
      </c>
      <c r="B8" s="5">
        <v>35.22</v>
      </c>
      <c r="C8" s="330" t="s">
        <v>539</v>
      </c>
      <c r="D8" s="331">
        <v>14.7</v>
      </c>
      <c r="E8" s="4" t="s">
        <v>8</v>
      </c>
      <c r="F8" s="5">
        <v>35.22</v>
      </c>
      <c r="G8" s="18" t="s">
        <v>127</v>
      </c>
      <c r="H8" s="521" t="s">
        <v>143</v>
      </c>
    </row>
    <row r="9" spans="1:8" x14ac:dyDescent="0.25">
      <c r="A9" s="4" t="s">
        <v>528</v>
      </c>
      <c r="B9" s="5">
        <v>25.89</v>
      </c>
      <c r="C9" s="4" t="s">
        <v>10</v>
      </c>
      <c r="D9" s="8">
        <v>46.86</v>
      </c>
      <c r="E9" s="4" t="s">
        <v>528</v>
      </c>
      <c r="F9" s="5">
        <v>25.89</v>
      </c>
      <c r="G9" s="1" t="s">
        <v>546</v>
      </c>
      <c r="H9" s="521" t="s">
        <v>550</v>
      </c>
    </row>
    <row r="10" spans="1:8" ht="15.75" thickBot="1" x14ac:dyDescent="0.3">
      <c r="A10" s="4" t="s">
        <v>529</v>
      </c>
      <c r="B10" s="5">
        <v>23.18</v>
      </c>
      <c r="C10" s="4" t="s">
        <v>11</v>
      </c>
      <c r="D10" s="8">
        <v>41.62</v>
      </c>
      <c r="E10" s="4" t="s">
        <v>529</v>
      </c>
      <c r="F10" s="5">
        <v>23.18</v>
      </c>
      <c r="G10" s="19" t="s">
        <v>547</v>
      </c>
      <c r="H10" s="521" t="s">
        <v>144</v>
      </c>
    </row>
    <row r="11" spans="1:8" x14ac:dyDescent="0.25">
      <c r="A11" s="4" t="s">
        <v>530</v>
      </c>
      <c r="B11" s="5">
        <v>37.67</v>
      </c>
      <c r="C11" s="4" t="s">
        <v>12</v>
      </c>
      <c r="D11" s="8">
        <v>37.17</v>
      </c>
      <c r="E11" s="4" t="s">
        <v>530</v>
      </c>
      <c r="F11" s="5">
        <v>37.67</v>
      </c>
      <c r="H11" s="521" t="s">
        <v>145</v>
      </c>
    </row>
    <row r="12" spans="1:8" x14ac:dyDescent="0.25">
      <c r="A12" s="4" t="s">
        <v>531</v>
      </c>
      <c r="B12" s="5">
        <v>34.1</v>
      </c>
      <c r="C12" s="4" t="s">
        <v>538</v>
      </c>
      <c r="D12" s="5">
        <v>34.14</v>
      </c>
      <c r="E12" s="4" t="s">
        <v>531</v>
      </c>
      <c r="F12" s="5">
        <v>34.1</v>
      </c>
      <c r="H12" s="521" t="s">
        <v>146</v>
      </c>
    </row>
    <row r="13" spans="1:8" x14ac:dyDescent="0.25">
      <c r="A13" s="4" t="s">
        <v>532</v>
      </c>
      <c r="B13" s="5">
        <v>29.51</v>
      </c>
      <c r="C13" s="4" t="s">
        <v>13</v>
      </c>
      <c r="D13" s="8">
        <v>37.17</v>
      </c>
      <c r="E13" s="4" t="s">
        <v>532</v>
      </c>
      <c r="F13" s="5">
        <v>29.51</v>
      </c>
      <c r="H13" s="521" t="s">
        <v>147</v>
      </c>
    </row>
    <row r="14" spans="1:8" ht="15.75" thickBot="1" x14ac:dyDescent="0.3">
      <c r="A14" s="4" t="s">
        <v>533</v>
      </c>
      <c r="B14" s="5">
        <v>24.8</v>
      </c>
      <c r="C14" s="6" t="s">
        <v>536</v>
      </c>
      <c r="D14" s="17">
        <v>34.14</v>
      </c>
      <c r="E14" s="4" t="s">
        <v>533</v>
      </c>
      <c r="F14" s="5">
        <v>24.8</v>
      </c>
      <c r="H14" s="521" t="s">
        <v>148</v>
      </c>
    </row>
    <row r="15" spans="1:8" x14ac:dyDescent="0.25">
      <c r="A15" s="4" t="s">
        <v>534</v>
      </c>
      <c r="B15" s="5">
        <v>22.23</v>
      </c>
      <c r="E15" s="4" t="s">
        <v>534</v>
      </c>
      <c r="F15" s="5">
        <v>22.23</v>
      </c>
      <c r="H15" s="521" t="s">
        <v>149</v>
      </c>
    </row>
    <row r="16" spans="1:8" x14ac:dyDescent="0.25">
      <c r="A16" s="4" t="s">
        <v>535</v>
      </c>
      <c r="B16" s="5">
        <v>21.87</v>
      </c>
      <c r="E16" s="4" t="s">
        <v>535</v>
      </c>
      <c r="F16" s="5">
        <v>21.87</v>
      </c>
      <c r="H16" s="521" t="s">
        <v>150</v>
      </c>
    </row>
    <row r="17" spans="1:8" x14ac:dyDescent="0.25">
      <c r="A17" s="330" t="s">
        <v>539</v>
      </c>
      <c r="B17" s="331">
        <v>14.7</v>
      </c>
      <c r="E17" s="330" t="s">
        <v>539</v>
      </c>
      <c r="F17" s="331">
        <v>14.7</v>
      </c>
      <c r="H17" s="521" t="s">
        <v>551</v>
      </c>
    </row>
    <row r="18" spans="1:8" x14ac:dyDescent="0.25">
      <c r="A18" s="4" t="s">
        <v>10</v>
      </c>
      <c r="B18" s="5">
        <v>46.86</v>
      </c>
      <c r="E18" s="4" t="s">
        <v>10</v>
      </c>
      <c r="F18" s="5">
        <v>46.86</v>
      </c>
      <c r="H18" s="521" t="s">
        <v>151</v>
      </c>
    </row>
    <row r="19" spans="1:8" x14ac:dyDescent="0.25">
      <c r="A19" s="4" t="s">
        <v>11</v>
      </c>
      <c r="B19" s="5">
        <v>41.62</v>
      </c>
      <c r="E19" s="4" t="s">
        <v>11</v>
      </c>
      <c r="F19" s="5">
        <v>41.62</v>
      </c>
      <c r="H19" s="521" t="s">
        <v>152</v>
      </c>
    </row>
    <row r="20" spans="1:8" x14ac:dyDescent="0.25">
      <c r="A20" s="4" t="s">
        <v>12</v>
      </c>
      <c r="B20" s="5">
        <v>37.17</v>
      </c>
      <c r="E20" s="4" t="s">
        <v>12</v>
      </c>
      <c r="F20" s="5">
        <v>37.17</v>
      </c>
      <c r="H20" s="521" t="s">
        <v>153</v>
      </c>
    </row>
    <row r="21" spans="1:8" x14ac:dyDescent="0.25">
      <c r="A21" s="4" t="s">
        <v>538</v>
      </c>
      <c r="B21" s="5">
        <v>34.14</v>
      </c>
      <c r="E21" s="4" t="s">
        <v>538</v>
      </c>
      <c r="F21" s="5">
        <v>34.14</v>
      </c>
      <c r="H21" s="521" t="s">
        <v>154</v>
      </c>
    </row>
    <row r="22" spans="1:8" x14ac:dyDescent="0.25">
      <c r="A22" s="4" t="s">
        <v>13</v>
      </c>
      <c r="B22" s="5">
        <v>37.17</v>
      </c>
      <c r="E22" s="4" t="s">
        <v>13</v>
      </c>
      <c r="F22" s="5">
        <v>37.17</v>
      </c>
      <c r="H22" s="521" t="s">
        <v>155</v>
      </c>
    </row>
    <row r="23" spans="1:8" ht="15.75" thickBot="1" x14ac:dyDescent="0.3">
      <c r="A23" s="6" t="s">
        <v>536</v>
      </c>
      <c r="B23" s="7">
        <v>34.14</v>
      </c>
      <c r="E23" s="6" t="s">
        <v>536</v>
      </c>
      <c r="F23" s="7">
        <v>34.14</v>
      </c>
      <c r="H23" s="521" t="s">
        <v>156</v>
      </c>
    </row>
    <row r="24" spans="1:8" ht="15.75" thickBot="1" x14ac:dyDescent="0.3">
      <c r="H24" s="521" t="s">
        <v>157</v>
      </c>
    </row>
    <row r="25" spans="1:8" ht="15.75" thickBot="1" x14ac:dyDescent="0.3">
      <c r="A25" s="518" t="s">
        <v>14</v>
      </c>
      <c r="B25" s="519"/>
      <c r="H25" s="521" t="s">
        <v>158</v>
      </c>
    </row>
    <row r="26" spans="1:8" x14ac:dyDescent="0.25">
      <c r="A26" s="2" t="s">
        <v>15</v>
      </c>
      <c r="B26" s="3">
        <v>0.21</v>
      </c>
      <c r="H26" s="521" t="s">
        <v>159</v>
      </c>
    </row>
    <row r="27" spans="1:8" x14ac:dyDescent="0.25">
      <c r="A27" s="4" t="s">
        <v>16</v>
      </c>
      <c r="B27" s="5">
        <v>0.28999999999999998</v>
      </c>
      <c r="H27" s="521" t="s">
        <v>160</v>
      </c>
    </row>
    <row r="28" spans="1:8" ht="15.75" thickBot="1" x14ac:dyDescent="0.3">
      <c r="A28" s="6" t="s">
        <v>17</v>
      </c>
      <c r="B28" s="7">
        <v>0.17299999999999999</v>
      </c>
      <c r="H28" s="521" t="s">
        <v>161</v>
      </c>
    </row>
    <row r="29" spans="1:8" x14ac:dyDescent="0.25">
      <c r="H29" s="521" t="s">
        <v>162</v>
      </c>
    </row>
    <row r="30" spans="1:8" x14ac:dyDescent="0.25">
      <c r="A30" s="2" t="s">
        <v>18</v>
      </c>
      <c r="B30" s="3" t="s">
        <v>19</v>
      </c>
      <c r="H30" s="521" t="s">
        <v>163</v>
      </c>
    </row>
    <row r="31" spans="1:8" x14ac:dyDescent="0.25">
      <c r="A31" s="12" t="s">
        <v>89</v>
      </c>
      <c r="B31" s="13">
        <v>0</v>
      </c>
      <c r="H31" s="521" t="s">
        <v>164</v>
      </c>
    </row>
    <row r="32" spans="1:8" x14ac:dyDescent="0.25">
      <c r="A32" s="4" t="s">
        <v>20</v>
      </c>
      <c r="B32" s="5">
        <v>5</v>
      </c>
      <c r="H32" s="521" t="s">
        <v>165</v>
      </c>
    </row>
    <row r="33" spans="1:8" ht="15.75" thickBot="1" x14ac:dyDescent="0.3">
      <c r="A33" s="6" t="s">
        <v>21</v>
      </c>
      <c r="B33" s="7">
        <v>3</v>
      </c>
      <c r="H33" s="521" t="s">
        <v>166</v>
      </c>
    </row>
    <row r="34" spans="1:8" x14ac:dyDescent="0.25">
      <c r="A34" s="16" t="s">
        <v>540</v>
      </c>
      <c r="H34" s="521" t="s">
        <v>167</v>
      </c>
    </row>
    <row r="35" spans="1:8" x14ac:dyDescent="0.25">
      <c r="F35" s="325"/>
      <c r="G35" s="325"/>
      <c r="H35" s="521" t="s">
        <v>168</v>
      </c>
    </row>
    <row r="36" spans="1:8" x14ac:dyDescent="0.25">
      <c r="F36" s="325"/>
      <c r="G36" s="325"/>
      <c r="H36" s="521" t="s">
        <v>169</v>
      </c>
    </row>
    <row r="37" spans="1:8" x14ac:dyDescent="0.25">
      <c r="F37" s="325"/>
      <c r="G37" s="325"/>
      <c r="H37" s="521" t="s">
        <v>170</v>
      </c>
    </row>
    <row r="38" spans="1:8" x14ac:dyDescent="0.25">
      <c r="A38" s="328"/>
      <c r="F38" s="325"/>
      <c r="G38" s="325"/>
      <c r="H38" s="521" t="s">
        <v>171</v>
      </c>
    </row>
    <row r="39" spans="1:8" x14ac:dyDescent="0.25">
      <c r="F39" s="325"/>
      <c r="G39" s="325"/>
      <c r="H39" s="521" t="s">
        <v>172</v>
      </c>
    </row>
    <row r="40" spans="1:8" x14ac:dyDescent="0.25">
      <c r="A40" s="16"/>
      <c r="B40" s="326"/>
      <c r="F40" s="325"/>
      <c r="G40" s="325"/>
      <c r="H40" s="521" t="s">
        <v>173</v>
      </c>
    </row>
    <row r="41" spans="1:8" x14ac:dyDescent="0.25">
      <c r="A41" s="16"/>
      <c r="B41" s="326"/>
      <c r="E41" s="325"/>
      <c r="F41" s="325"/>
      <c r="G41" s="325"/>
      <c r="H41" s="521" t="s">
        <v>174</v>
      </c>
    </row>
    <row r="42" spans="1:8" x14ac:dyDescent="0.25">
      <c r="A42" s="16"/>
      <c r="B42" s="326"/>
      <c r="H42" s="521" t="s">
        <v>175</v>
      </c>
    </row>
    <row r="43" spans="1:8" x14ac:dyDescent="0.25">
      <c r="A43" s="16"/>
      <c r="B43" s="326"/>
      <c r="H43" s="521" t="s">
        <v>176</v>
      </c>
    </row>
    <row r="44" spans="1:8" x14ac:dyDescent="0.25">
      <c r="A44" s="327"/>
      <c r="B44" s="326"/>
      <c r="H44" s="521" t="s">
        <v>177</v>
      </c>
    </row>
    <row r="45" spans="1:8" x14ac:dyDescent="0.25">
      <c r="A45" s="327"/>
      <c r="B45" s="326"/>
      <c r="H45" s="521" t="s">
        <v>552</v>
      </c>
    </row>
    <row r="46" spans="1:8" x14ac:dyDescent="0.25">
      <c r="A46" s="16"/>
      <c r="B46" s="326"/>
      <c r="H46" s="521" t="s">
        <v>178</v>
      </c>
    </row>
    <row r="47" spans="1:8" x14ac:dyDescent="0.25">
      <c r="A47" s="327"/>
      <c r="B47" s="326"/>
      <c r="H47" s="521" t="s">
        <v>179</v>
      </c>
    </row>
    <row r="48" spans="1:8" x14ac:dyDescent="0.25">
      <c r="A48" s="16"/>
      <c r="B48" s="326"/>
      <c r="H48" s="521" t="s">
        <v>553</v>
      </c>
    </row>
    <row r="49" spans="1:8" x14ac:dyDescent="0.25">
      <c r="A49" s="16"/>
      <c r="B49" s="326"/>
      <c r="H49" s="521" t="s">
        <v>180</v>
      </c>
    </row>
    <row r="50" spans="1:8" x14ac:dyDescent="0.25">
      <c r="A50" s="16"/>
      <c r="B50" s="326"/>
      <c r="H50" s="521" t="s">
        <v>181</v>
      </c>
    </row>
    <row r="51" spans="1:8" x14ac:dyDescent="0.25">
      <c r="A51" s="16"/>
      <c r="B51" s="326"/>
      <c r="H51" s="521" t="s">
        <v>182</v>
      </c>
    </row>
    <row r="52" spans="1:8" x14ac:dyDescent="0.25">
      <c r="A52" s="16"/>
      <c r="B52" s="326"/>
      <c r="H52" s="521" t="s">
        <v>183</v>
      </c>
    </row>
    <row r="53" spans="1:8" x14ac:dyDescent="0.25">
      <c r="A53" s="16"/>
      <c r="B53" s="326"/>
      <c r="H53" s="521" t="s">
        <v>554</v>
      </c>
    </row>
    <row r="54" spans="1:8" x14ac:dyDescent="0.25">
      <c r="A54" s="16"/>
      <c r="B54" s="326"/>
      <c r="H54" s="521" t="s">
        <v>184</v>
      </c>
    </row>
    <row r="55" spans="1:8" x14ac:dyDescent="0.25">
      <c r="A55" s="16"/>
      <c r="B55" s="326"/>
      <c r="H55" s="521" t="s">
        <v>185</v>
      </c>
    </row>
    <row r="56" spans="1:8" x14ac:dyDescent="0.25">
      <c r="A56" s="16"/>
      <c r="B56" s="326"/>
      <c r="H56" s="521" t="s">
        <v>186</v>
      </c>
    </row>
    <row r="57" spans="1:8" x14ac:dyDescent="0.25">
      <c r="A57" s="16"/>
      <c r="B57" s="326"/>
      <c r="H57" s="521" t="s">
        <v>187</v>
      </c>
    </row>
    <row r="58" spans="1:8" x14ac:dyDescent="0.25">
      <c r="A58" s="16"/>
      <c r="B58" s="326"/>
      <c r="H58" s="521" t="s">
        <v>549</v>
      </c>
    </row>
    <row r="59" spans="1:8" x14ac:dyDescent="0.25">
      <c r="H59" s="521" t="s">
        <v>555</v>
      </c>
    </row>
    <row r="60" spans="1:8" x14ac:dyDescent="0.25">
      <c r="H60" s="521" t="s">
        <v>556</v>
      </c>
    </row>
    <row r="61" spans="1:8" x14ac:dyDescent="0.25">
      <c r="H61" s="521" t="s">
        <v>188</v>
      </c>
    </row>
    <row r="62" spans="1:8" x14ac:dyDescent="0.25">
      <c r="H62" s="521" t="s">
        <v>189</v>
      </c>
    </row>
    <row r="63" spans="1:8" x14ac:dyDescent="0.25">
      <c r="H63" s="521" t="s">
        <v>190</v>
      </c>
    </row>
    <row r="64" spans="1:8" x14ac:dyDescent="0.25">
      <c r="H64" s="521" t="s">
        <v>557</v>
      </c>
    </row>
    <row r="65" spans="8:8" x14ac:dyDescent="0.25">
      <c r="H65" s="521" t="s">
        <v>191</v>
      </c>
    </row>
    <row r="66" spans="8:8" x14ac:dyDescent="0.25">
      <c r="H66" s="521" t="s">
        <v>192</v>
      </c>
    </row>
    <row r="67" spans="8:8" x14ac:dyDescent="0.25">
      <c r="H67" s="521" t="s">
        <v>193</v>
      </c>
    </row>
    <row r="68" spans="8:8" x14ac:dyDescent="0.25">
      <c r="H68" s="521" t="s">
        <v>194</v>
      </c>
    </row>
    <row r="69" spans="8:8" x14ac:dyDescent="0.25">
      <c r="H69" s="521" t="s">
        <v>195</v>
      </c>
    </row>
    <row r="70" spans="8:8" x14ac:dyDescent="0.25">
      <c r="H70" s="521" t="s">
        <v>196</v>
      </c>
    </row>
    <row r="71" spans="8:8" x14ac:dyDescent="0.25">
      <c r="H71" s="521" t="s">
        <v>197</v>
      </c>
    </row>
    <row r="72" spans="8:8" x14ac:dyDescent="0.25">
      <c r="H72" s="521" t="s">
        <v>198</v>
      </c>
    </row>
    <row r="73" spans="8:8" x14ac:dyDescent="0.25">
      <c r="H73" s="521" t="s">
        <v>199</v>
      </c>
    </row>
    <row r="74" spans="8:8" x14ac:dyDescent="0.25">
      <c r="H74" s="521" t="s">
        <v>200</v>
      </c>
    </row>
    <row r="75" spans="8:8" x14ac:dyDescent="0.25">
      <c r="H75" s="521" t="s">
        <v>201</v>
      </c>
    </row>
    <row r="76" spans="8:8" x14ac:dyDescent="0.25">
      <c r="H76" s="521" t="s">
        <v>202</v>
      </c>
    </row>
    <row r="77" spans="8:8" x14ac:dyDescent="0.25">
      <c r="H77" s="521" t="s">
        <v>203</v>
      </c>
    </row>
    <row r="78" spans="8:8" x14ac:dyDescent="0.25">
      <c r="H78" s="521" t="s">
        <v>204</v>
      </c>
    </row>
    <row r="79" spans="8:8" x14ac:dyDescent="0.25">
      <c r="H79" s="521" t="s">
        <v>205</v>
      </c>
    </row>
    <row r="80" spans="8:8" x14ac:dyDescent="0.25">
      <c r="H80" s="521" t="s">
        <v>206</v>
      </c>
    </row>
    <row r="81" spans="8:8" x14ac:dyDescent="0.25">
      <c r="H81" s="521" t="s">
        <v>207</v>
      </c>
    </row>
    <row r="82" spans="8:8" x14ac:dyDescent="0.25">
      <c r="H82" s="521" t="s">
        <v>208</v>
      </c>
    </row>
    <row r="83" spans="8:8" x14ac:dyDescent="0.25">
      <c r="H83" s="521" t="s">
        <v>209</v>
      </c>
    </row>
    <row r="84" spans="8:8" x14ac:dyDescent="0.25">
      <c r="H84" s="521" t="s">
        <v>210</v>
      </c>
    </row>
    <row r="85" spans="8:8" x14ac:dyDescent="0.25">
      <c r="H85" s="521" t="s">
        <v>211</v>
      </c>
    </row>
    <row r="86" spans="8:8" x14ac:dyDescent="0.25">
      <c r="H86" s="521" t="s">
        <v>212</v>
      </c>
    </row>
    <row r="87" spans="8:8" x14ac:dyDescent="0.25">
      <c r="H87" s="521" t="s">
        <v>213</v>
      </c>
    </row>
    <row r="88" spans="8:8" x14ac:dyDescent="0.25">
      <c r="H88" s="521" t="s">
        <v>214</v>
      </c>
    </row>
    <row r="89" spans="8:8" x14ac:dyDescent="0.25">
      <c r="H89" s="521" t="s">
        <v>215</v>
      </c>
    </row>
    <row r="90" spans="8:8" x14ac:dyDescent="0.25">
      <c r="H90" s="521" t="s">
        <v>216</v>
      </c>
    </row>
    <row r="91" spans="8:8" x14ac:dyDescent="0.25">
      <c r="H91" s="521" t="s">
        <v>217</v>
      </c>
    </row>
    <row r="92" spans="8:8" x14ac:dyDescent="0.25">
      <c r="H92" s="521" t="s">
        <v>218</v>
      </c>
    </row>
    <row r="93" spans="8:8" x14ac:dyDescent="0.25">
      <c r="H93" s="521" t="s">
        <v>219</v>
      </c>
    </row>
    <row r="94" spans="8:8" x14ac:dyDescent="0.25">
      <c r="H94" s="521" t="s">
        <v>220</v>
      </c>
    </row>
    <row r="95" spans="8:8" x14ac:dyDescent="0.25">
      <c r="H95" s="521" t="s">
        <v>221</v>
      </c>
    </row>
    <row r="96" spans="8:8" x14ac:dyDescent="0.25">
      <c r="H96" s="521" t="s">
        <v>222</v>
      </c>
    </row>
    <row r="97" spans="8:8" x14ac:dyDescent="0.25">
      <c r="H97" s="521" t="s">
        <v>223</v>
      </c>
    </row>
    <row r="98" spans="8:8" x14ac:dyDescent="0.25">
      <c r="H98" s="521" t="s">
        <v>224</v>
      </c>
    </row>
    <row r="99" spans="8:8" x14ac:dyDescent="0.25">
      <c r="H99" s="521" t="s">
        <v>225</v>
      </c>
    </row>
    <row r="100" spans="8:8" x14ac:dyDescent="0.25">
      <c r="H100" s="521" t="s">
        <v>226</v>
      </c>
    </row>
    <row r="101" spans="8:8" x14ac:dyDescent="0.25">
      <c r="H101" s="521" t="s">
        <v>227</v>
      </c>
    </row>
    <row r="102" spans="8:8" x14ac:dyDescent="0.25">
      <c r="H102" s="521" t="s">
        <v>228</v>
      </c>
    </row>
    <row r="103" spans="8:8" x14ac:dyDescent="0.25">
      <c r="H103" s="521" t="s">
        <v>229</v>
      </c>
    </row>
    <row r="104" spans="8:8" x14ac:dyDescent="0.25">
      <c r="H104" s="521" t="s">
        <v>230</v>
      </c>
    </row>
    <row r="105" spans="8:8" x14ac:dyDescent="0.25">
      <c r="H105" s="521" t="s">
        <v>231</v>
      </c>
    </row>
    <row r="106" spans="8:8" x14ac:dyDescent="0.25">
      <c r="H106" s="521" t="s">
        <v>232</v>
      </c>
    </row>
    <row r="107" spans="8:8" x14ac:dyDescent="0.25">
      <c r="H107" s="521" t="s">
        <v>233</v>
      </c>
    </row>
    <row r="108" spans="8:8" x14ac:dyDescent="0.25">
      <c r="H108" s="521" t="s">
        <v>234</v>
      </c>
    </row>
    <row r="109" spans="8:8" x14ac:dyDescent="0.25">
      <c r="H109" s="521" t="s">
        <v>235</v>
      </c>
    </row>
    <row r="110" spans="8:8" x14ac:dyDescent="0.25">
      <c r="H110" s="521" t="s">
        <v>236</v>
      </c>
    </row>
    <row r="111" spans="8:8" x14ac:dyDescent="0.25">
      <c r="H111" s="521" t="s">
        <v>237</v>
      </c>
    </row>
    <row r="112" spans="8:8" x14ac:dyDescent="0.25">
      <c r="H112" s="521" t="s">
        <v>238</v>
      </c>
    </row>
    <row r="113" spans="8:8" x14ac:dyDescent="0.25">
      <c r="H113" s="521" t="s">
        <v>239</v>
      </c>
    </row>
    <row r="114" spans="8:8" x14ac:dyDescent="0.25">
      <c r="H114" s="521" t="s">
        <v>240</v>
      </c>
    </row>
    <row r="115" spans="8:8" x14ac:dyDescent="0.25">
      <c r="H115" s="521" t="s">
        <v>241</v>
      </c>
    </row>
    <row r="116" spans="8:8" x14ac:dyDescent="0.25">
      <c r="H116" s="521" t="s">
        <v>242</v>
      </c>
    </row>
    <row r="117" spans="8:8" x14ac:dyDescent="0.25">
      <c r="H117" s="521" t="s">
        <v>243</v>
      </c>
    </row>
    <row r="118" spans="8:8" x14ac:dyDescent="0.25">
      <c r="H118" s="521" t="s">
        <v>244</v>
      </c>
    </row>
    <row r="119" spans="8:8" x14ac:dyDescent="0.25">
      <c r="H119" s="521" t="s">
        <v>245</v>
      </c>
    </row>
    <row r="120" spans="8:8" x14ac:dyDescent="0.25">
      <c r="H120" s="521" t="s">
        <v>246</v>
      </c>
    </row>
    <row r="121" spans="8:8" x14ac:dyDescent="0.25">
      <c r="H121" s="521" t="s">
        <v>247</v>
      </c>
    </row>
    <row r="122" spans="8:8" x14ac:dyDescent="0.25">
      <c r="H122" s="521" t="s">
        <v>248</v>
      </c>
    </row>
    <row r="123" spans="8:8" x14ac:dyDescent="0.25">
      <c r="H123" s="521" t="s">
        <v>249</v>
      </c>
    </row>
    <row r="124" spans="8:8" x14ac:dyDescent="0.25">
      <c r="H124" s="521" t="s">
        <v>250</v>
      </c>
    </row>
    <row r="125" spans="8:8" x14ac:dyDescent="0.25">
      <c r="H125" s="521" t="s">
        <v>251</v>
      </c>
    </row>
    <row r="126" spans="8:8" x14ac:dyDescent="0.25">
      <c r="H126" s="521" t="s">
        <v>252</v>
      </c>
    </row>
    <row r="127" spans="8:8" x14ac:dyDescent="0.25">
      <c r="H127" s="521" t="s">
        <v>253</v>
      </c>
    </row>
    <row r="128" spans="8:8" x14ac:dyDescent="0.25">
      <c r="H128" s="521" t="s">
        <v>254</v>
      </c>
    </row>
    <row r="129" spans="8:8" x14ac:dyDescent="0.25">
      <c r="H129" s="521" t="s">
        <v>255</v>
      </c>
    </row>
    <row r="130" spans="8:8" x14ac:dyDescent="0.25">
      <c r="H130" s="521" t="s">
        <v>256</v>
      </c>
    </row>
    <row r="131" spans="8:8" x14ac:dyDescent="0.25">
      <c r="H131" s="521" t="s">
        <v>257</v>
      </c>
    </row>
    <row r="132" spans="8:8" x14ac:dyDescent="0.25">
      <c r="H132" s="521" t="s">
        <v>258</v>
      </c>
    </row>
    <row r="133" spans="8:8" x14ac:dyDescent="0.25">
      <c r="H133" s="521" t="s">
        <v>259</v>
      </c>
    </row>
    <row r="134" spans="8:8" x14ac:dyDescent="0.25">
      <c r="H134" s="521" t="s">
        <v>260</v>
      </c>
    </row>
    <row r="135" spans="8:8" x14ac:dyDescent="0.25">
      <c r="H135" s="521" t="s">
        <v>261</v>
      </c>
    </row>
    <row r="136" spans="8:8" x14ac:dyDescent="0.25">
      <c r="H136" s="521" t="s">
        <v>262</v>
      </c>
    </row>
    <row r="137" spans="8:8" x14ac:dyDescent="0.25">
      <c r="H137" s="521" t="s">
        <v>263</v>
      </c>
    </row>
    <row r="138" spans="8:8" x14ac:dyDescent="0.25">
      <c r="H138" s="521" t="s">
        <v>264</v>
      </c>
    </row>
    <row r="139" spans="8:8" x14ac:dyDescent="0.25">
      <c r="H139" s="521" t="s">
        <v>265</v>
      </c>
    </row>
    <row r="140" spans="8:8" x14ac:dyDescent="0.25">
      <c r="H140" s="521" t="s">
        <v>266</v>
      </c>
    </row>
    <row r="141" spans="8:8" x14ac:dyDescent="0.25">
      <c r="H141" s="521" t="s">
        <v>267</v>
      </c>
    </row>
    <row r="142" spans="8:8" x14ac:dyDescent="0.25">
      <c r="H142" s="521" t="s">
        <v>268</v>
      </c>
    </row>
    <row r="143" spans="8:8" x14ac:dyDescent="0.25">
      <c r="H143" s="521" t="s">
        <v>269</v>
      </c>
    </row>
    <row r="144" spans="8:8" x14ac:dyDescent="0.25">
      <c r="H144" s="521" t="s">
        <v>270</v>
      </c>
    </row>
    <row r="145" spans="8:8" x14ac:dyDescent="0.25">
      <c r="H145" s="522" t="s">
        <v>271</v>
      </c>
    </row>
    <row r="146" spans="8:8" x14ac:dyDescent="0.25">
      <c r="H146" s="522" t="s">
        <v>272</v>
      </c>
    </row>
    <row r="147" spans="8:8" x14ac:dyDescent="0.25">
      <c r="H147" s="522" t="s">
        <v>273</v>
      </c>
    </row>
    <row r="148" spans="8:8" x14ac:dyDescent="0.25">
      <c r="H148" s="522" t="s">
        <v>274</v>
      </c>
    </row>
    <row r="149" spans="8:8" x14ac:dyDescent="0.25">
      <c r="H149" s="522" t="s">
        <v>275</v>
      </c>
    </row>
    <row r="150" spans="8:8" x14ac:dyDescent="0.25">
      <c r="H150" s="522" t="s">
        <v>541</v>
      </c>
    </row>
  </sheetData>
  <sheetProtection algorithmName="SHA-512" hashValue="+EAIHBk5kzgEjgVLi5AmFUBy1D1cwjCBpwekuLwNd96K5mmI0g/6cxv5vsl45LLEmqrwHDlEbVqgaro7y6hJ7A==" saltValue="hUMWZXWc8yluBcXTUjlTdg==" spinCount="100000" sheet="1" objects="1" scenarios="1" selectLockedCells="1" selectUnlockedCells="1"/>
  <mergeCells count="4">
    <mergeCell ref="E1:F1"/>
    <mergeCell ref="A25:B25"/>
    <mergeCell ref="A1:B1"/>
    <mergeCell ref="C1:D1"/>
  </mergeCells>
  <pageMargins left="0.7" right="0.7" top="0.75" bottom="0.75" header="0.3" footer="0.3"/>
  <pageSetup paperSize="9"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12</vt:i4>
      </vt:variant>
    </vt:vector>
  </HeadingPairs>
  <TitlesOfParts>
    <vt:vector size="29" baseType="lpstr">
      <vt:lpstr>Datos generales</vt:lpstr>
      <vt:lpstr>Resumen</vt:lpstr>
      <vt:lpstr>Personal</vt:lpstr>
      <vt:lpstr>Instalación-Infraestructura</vt:lpstr>
      <vt:lpstr>Equipamiento</vt:lpstr>
      <vt:lpstr>Otros</vt:lpstr>
      <vt:lpstr>Equipo 1</vt:lpstr>
      <vt:lpstr>Equipo 2</vt:lpstr>
      <vt:lpstr>Equipo 3</vt:lpstr>
      <vt:lpstr>Equipo 4</vt:lpstr>
      <vt:lpstr>Equipo 5</vt:lpstr>
      <vt:lpstr>Equipo 6</vt:lpstr>
      <vt:lpstr>Equipo 7</vt:lpstr>
      <vt:lpstr>Equipo 8</vt:lpstr>
      <vt:lpstr>Equipo 9</vt:lpstr>
      <vt:lpstr>Equipo 10</vt:lpstr>
      <vt:lpstr>Referencias</vt:lpstr>
      <vt:lpstr>'Datos generales'!Área_de_impresión</vt:lpstr>
      <vt:lpstr>Equipamiento!Área_de_impresión</vt:lpstr>
      <vt:lpstr>'Equipo 1'!Área_de_impresión</vt:lpstr>
      <vt:lpstr>'Instalación-Infraestructura'!Área_de_impresión</vt:lpstr>
      <vt:lpstr>Otros!Área_de_impresión</vt:lpstr>
      <vt:lpstr>Personal!Área_de_impresión</vt:lpstr>
      <vt:lpstr>Referencias!Área_de_impresión</vt:lpstr>
      <vt:lpstr>Resumen!Área_de_impresión</vt:lpstr>
      <vt:lpstr>Resumen!COSTES_NO_ELEGIBLES_MAS_IVA_NO_DEDUCIBLE_NO_ELEGIBLE</vt:lpstr>
      <vt:lpstr>IVA</vt:lpstr>
      <vt:lpstr>IVA_NO_DEDUCIBLE</vt:lpstr>
      <vt:lpstr>PORCENTAJE_MARGINAL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Villamor Gutierrez</dc:creator>
  <cp:lastModifiedBy>Ramiro Álvarez Juárez</cp:lastModifiedBy>
  <cp:lastPrinted>2026-01-14T11:14:44Z</cp:lastPrinted>
  <dcterms:created xsi:type="dcterms:W3CDTF">2025-06-27T10:56:23Z</dcterms:created>
  <dcterms:modified xsi:type="dcterms:W3CDTF">2026-05-28T09:45:57Z</dcterms:modified>
</cp:coreProperties>
</file>